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herren\Desktop\feldman\"/>
    </mc:Choice>
  </mc:AlternateContent>
  <xr:revisionPtr revIDLastSave="0" documentId="13_ncr:1_{297E16FD-1DF7-4F7A-94FB-7855095C1D87}" xr6:coauthVersionLast="47" xr6:coauthVersionMax="47" xr10:uidLastSave="{00000000-0000-0000-0000-000000000000}"/>
  <bookViews>
    <workbookView xWindow="19095" yWindow="0" windowWidth="19410" windowHeight="20985" tabRatio="888" xr2:uid="{00000000-000D-0000-FFFF-FFFF00000000}"/>
  </bookViews>
  <sheets>
    <sheet name="All Properties" sheetId="1" r:id="rId1"/>
    <sheet name="Access" sheetId="25" r:id="rId2"/>
  </sheets>
  <definedNames>
    <definedName name="_xlnm._FilterDatabase" localSheetId="1" hidden="1">Access!$A$3:$F$30</definedName>
    <definedName name="_xlnm._FilterDatabase" localSheetId="0" hidden="1">'All Properties'!$A$3:$K$65</definedName>
    <definedName name="_xlnm.Print_Area" localSheetId="1">Access!$A$1:$C$30</definedName>
    <definedName name="_xlnm.Print_Area" localSheetId="0">'All Properties'!$A$1:$K$65</definedName>
    <definedName name="_xlnm.Print_Titles" localSheetId="1">Access!$1:$3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69" i="1" l="1"/>
</calcChain>
</file>

<file path=xl/sharedStrings.xml><?xml version="1.0" encoding="utf-8"?>
<sst xmlns="http://schemas.openxmlformats.org/spreadsheetml/2006/main" count="698" uniqueCount="414">
  <si>
    <t>Property List</t>
  </si>
  <si>
    <t>Half Moon Yard</t>
  </si>
  <si>
    <t>Hemel Hempstead</t>
  </si>
  <si>
    <t>Herts</t>
  </si>
  <si>
    <t>Address 1</t>
  </si>
  <si>
    <t>Address 2</t>
  </si>
  <si>
    <t>Address 3</t>
  </si>
  <si>
    <t>Postcode</t>
  </si>
  <si>
    <t>Old Town Hall</t>
  </si>
  <si>
    <t>High Street</t>
  </si>
  <si>
    <t>HP1 3AE</t>
  </si>
  <si>
    <t xml:space="preserve">Red Lion Lane </t>
  </si>
  <si>
    <t>HP3 9TE</t>
  </si>
  <si>
    <t>HP2 5HL</t>
  </si>
  <si>
    <t>Berkhamsted</t>
  </si>
  <si>
    <t>HP4 3HB</t>
  </si>
  <si>
    <t>Victoria Hall</t>
  </si>
  <si>
    <t>Akeman Street</t>
  </si>
  <si>
    <t xml:space="preserve">Tring </t>
  </si>
  <si>
    <t>HP23 6AA</t>
  </si>
  <si>
    <t>Redbourn Road</t>
  </si>
  <si>
    <t>HP2 7BA</t>
  </si>
  <si>
    <t>Adeyfield</t>
  </si>
  <si>
    <t>Bennetts End Depot</t>
  </si>
  <si>
    <t>Kimps Way</t>
  </si>
  <si>
    <t>High Street Green Sports Pavilion</t>
  </si>
  <si>
    <t>Leverstock Green Sports Pavilion</t>
  </si>
  <si>
    <t>Pound Meadow Sports Pavilion</t>
  </si>
  <si>
    <t>Station Road</t>
  </si>
  <si>
    <t>Tring</t>
  </si>
  <si>
    <t>Warners End Sports Pavilion</t>
  </si>
  <si>
    <t>Adeyfield Community Centre</t>
  </si>
  <si>
    <t>The Queens Square</t>
  </si>
  <si>
    <t>HP2 4EW</t>
  </si>
  <si>
    <t>Bennetts End Community Centre</t>
  </si>
  <si>
    <t>Gatecroft</t>
  </si>
  <si>
    <t>Bennetts End</t>
  </si>
  <si>
    <t>Chaulden Community Centre</t>
  </si>
  <si>
    <t xml:space="preserve">Long Chaulden </t>
  </si>
  <si>
    <t>HP1 2HX</t>
  </si>
  <si>
    <t>Gadebridge Community Centre</t>
  </si>
  <si>
    <t>Grovehill Neighbourhood Association</t>
  </si>
  <si>
    <t>Grovehill Community Centre</t>
  </si>
  <si>
    <t>Henry Wells Square</t>
  </si>
  <si>
    <t>HP2 6BJ</t>
  </si>
  <si>
    <t xml:space="preserve">Hemel Hempstead </t>
  </si>
  <si>
    <t>Highfield Community Centre</t>
  </si>
  <si>
    <t>Highfield</t>
  </si>
  <si>
    <t xml:space="preserve">HP2 5SB  </t>
  </si>
  <si>
    <t>Village Centre</t>
  </si>
  <si>
    <t>HP3 8QG</t>
  </si>
  <si>
    <t>Tring Community Centre</t>
  </si>
  <si>
    <t>Silk Mill Way</t>
  </si>
  <si>
    <t>HP23 5EP</t>
  </si>
  <si>
    <t>Warners End Community Centre</t>
  </si>
  <si>
    <t>Northridge Way</t>
  </si>
  <si>
    <t>HP1 3QG</t>
  </si>
  <si>
    <t>Woodhall Farm Community Centre</t>
  </si>
  <si>
    <t>Datchet Close</t>
  </si>
  <si>
    <t>Woodhall Farm</t>
  </si>
  <si>
    <t>HP2 7JX</t>
  </si>
  <si>
    <t>Hertfordshire</t>
  </si>
  <si>
    <t>9 High Street</t>
  </si>
  <si>
    <t>The Counting House</t>
  </si>
  <si>
    <t>10 High Street</t>
  </si>
  <si>
    <t>HP23 5TE</t>
  </si>
  <si>
    <t>48 High Street</t>
  </si>
  <si>
    <t>HP1 3AF</t>
  </si>
  <si>
    <t>Finway Road</t>
  </si>
  <si>
    <t>HP2 7QA</t>
  </si>
  <si>
    <t>The Bury Registry Office</t>
  </si>
  <si>
    <t>Queensway</t>
  </si>
  <si>
    <t>HP1 1HR</t>
  </si>
  <si>
    <t>Adeyfield Adventure Playground</t>
  </si>
  <si>
    <t>Turners Hill</t>
  </si>
  <si>
    <t>HP2 4LW</t>
  </si>
  <si>
    <t>Bennetts End Adventure Playground</t>
  </si>
  <si>
    <t>Rant Meadow</t>
  </si>
  <si>
    <t>HP3 8EQ</t>
  </si>
  <si>
    <t>Chaulden Adventure Playground</t>
  </si>
  <si>
    <t>Long Chaulden</t>
  </si>
  <si>
    <t>HP1 2NX</t>
  </si>
  <si>
    <t>Heath Lane</t>
  </si>
  <si>
    <t>HP1 1TS</t>
  </si>
  <si>
    <t>Kingshill Way</t>
  </si>
  <si>
    <t>Buncefield Lane</t>
  </si>
  <si>
    <t>The Denes Shopping Centre</t>
  </si>
  <si>
    <t>Barnacres Road</t>
  </si>
  <si>
    <t>Rossgate</t>
  </si>
  <si>
    <t>Gadebridge</t>
  </si>
  <si>
    <t>The Heights Shopping Centre</t>
  </si>
  <si>
    <t>HP2 5NX</t>
  </si>
  <si>
    <t>Queens Square Shopping Centre</t>
  </si>
  <si>
    <t xml:space="preserve">HP1 3LF </t>
  </si>
  <si>
    <t>Updated</t>
  </si>
  <si>
    <t>Hobbs Hill Road Shops</t>
  </si>
  <si>
    <t>HP3 9QG</t>
  </si>
  <si>
    <t>125 - 135 Hobbs Hill Road</t>
  </si>
  <si>
    <t>Tringford Depot</t>
  </si>
  <si>
    <t>Tringford Road</t>
  </si>
  <si>
    <t>Leverstock Green Village Centre Shops</t>
  </si>
  <si>
    <t>Leverstock Green Way</t>
  </si>
  <si>
    <t>Chaulden Shops</t>
  </si>
  <si>
    <t>HP23 5SH</t>
  </si>
  <si>
    <t>Jupiter Drive, Highfield</t>
  </si>
  <si>
    <t>Village Centre, Leverstock Green</t>
  </si>
  <si>
    <t>HP4 3UG</t>
  </si>
  <si>
    <t>HP2 7LF</t>
  </si>
  <si>
    <t>Multi-let building with common parts</t>
  </si>
  <si>
    <t>Dacre House</t>
  </si>
  <si>
    <t>Water Gardens Car Park North</t>
  </si>
  <si>
    <t>HP1 1EF</t>
  </si>
  <si>
    <t>Sub-let into parts, some Landlord's common parts</t>
  </si>
  <si>
    <t>HP23 5NB</t>
  </si>
  <si>
    <t>Rear of Leverstock Green Village Hall</t>
  </si>
  <si>
    <t>HP2 7AR</t>
  </si>
  <si>
    <t>HP3 8EN</t>
  </si>
  <si>
    <t>HP1 3LG</t>
  </si>
  <si>
    <t>HP1 2QF</t>
  </si>
  <si>
    <t>Used for storing polling equipment</t>
  </si>
  <si>
    <t>5 The Nokes</t>
  </si>
  <si>
    <t>julie.banks@grovehill.org.uk</t>
  </si>
  <si>
    <t>Office hours Mondays to Fridays 09:30 - 13:30</t>
  </si>
  <si>
    <t>Warners End</t>
  </si>
  <si>
    <t>1-28 HP2 4ES
30-48 HP2 4ER
50-52 HP2 4EW
88-114 Longlands
HP2 4ET</t>
  </si>
  <si>
    <t>danny.taber@dacorum.gov.uk</t>
  </si>
  <si>
    <t>Asbestos</t>
  </si>
  <si>
    <t>Kents Avenue</t>
  </si>
  <si>
    <t>Apsley</t>
  </si>
  <si>
    <t>HP3 9XH</t>
  </si>
  <si>
    <t>Chaulden</t>
  </si>
  <si>
    <t>HP1 3AQ</t>
  </si>
  <si>
    <t>100 High Street</t>
  </si>
  <si>
    <t>38 - 76 Long Chaulden</t>
  </si>
  <si>
    <t>182 Northridge Way</t>
  </si>
  <si>
    <t>HP1 2AL</t>
  </si>
  <si>
    <t>Chaulden Dental Practice</t>
  </si>
  <si>
    <t>Silk Mill Shopping Centre</t>
  </si>
  <si>
    <t>Fletcher Way</t>
  </si>
  <si>
    <t>Gadebridge Park</t>
  </si>
  <si>
    <t>Location Name</t>
  </si>
  <si>
    <t>Gadebridge
Hemel Hempstead</t>
  </si>
  <si>
    <t>48 High Street Community Action Dacorum</t>
  </si>
  <si>
    <t>Linked to the Volunteer Centre / The Roundhouse</t>
  </si>
  <si>
    <t>Robert.Cassidy@dacorum.gov.uk</t>
  </si>
  <si>
    <t>161 - 163 High Street</t>
  </si>
  <si>
    <t>Berkhamsted Civic Centre - DBC</t>
  </si>
  <si>
    <t>Cupid Green Depot</t>
  </si>
  <si>
    <t>Rossgate Shopping Centre numbers 1 to 33 (+ 4 garages)</t>
  </si>
  <si>
    <t>lgvaoffice@gmail.com</t>
  </si>
  <si>
    <t>The Centre in the Park (Day Centre)</t>
  </si>
  <si>
    <t>The Centre in the Park
Age Concern offices on first floor</t>
  </si>
  <si>
    <t>Sally@thecentreinthepark.org.uk
info@thecentreinthepark.org.uk
citpcarers@gmail.com</t>
  </si>
  <si>
    <t>warnersend@btconnect.com</t>
  </si>
  <si>
    <t>Customer Services
Mon 09:00 - 12:30 and 13:30 - 17:00
Tue/Thu/Fri 09:30 - 14:00</t>
  </si>
  <si>
    <t>Bennettsgate Shopping Centre
Nos 1 to 51</t>
  </si>
  <si>
    <t>HP3 9LZ</t>
  </si>
  <si>
    <t>benacc@btconnect.com</t>
  </si>
  <si>
    <t>claire@chauldencommunitycentre.org</t>
  </si>
  <si>
    <t>Brickfields Industrial Estate Units 1-21 (Washroom and Boiler Room only)</t>
  </si>
  <si>
    <t>Old Town Public Convenience</t>
  </si>
  <si>
    <t>09:00 – 14:30 M-F Office</t>
  </si>
  <si>
    <t>Leverstock Green Village Hall</t>
  </si>
  <si>
    <t>Leverstock Green Village Hall - Library</t>
  </si>
  <si>
    <t>DBC Contact</t>
  </si>
  <si>
    <t>Bellgate Shopping Centre
Nos 1 to 38</t>
  </si>
  <si>
    <t>Nash Mills Recreation Area Shower and Toilet Facilities</t>
  </si>
  <si>
    <t>Heath Lane Cemetery Lodge</t>
  </si>
  <si>
    <t>Wayside</t>
  </si>
  <si>
    <t>Gadebridge Youth Centre (The Annex)</t>
  </si>
  <si>
    <t>Heath Lane Cemetery Chapel (Left / South)</t>
  </si>
  <si>
    <t>Heath Lane Cemetery Chapel (Right / North)</t>
  </si>
  <si>
    <t>Kingshill Cemetery Lodge</t>
  </si>
  <si>
    <t>Woodwells Cemetery Lodge</t>
  </si>
  <si>
    <t>Woodwells Cemetery Office, Toilets and Workshop</t>
  </si>
  <si>
    <t>52 High Street</t>
  </si>
  <si>
    <t>Notes</t>
  </si>
  <si>
    <t>admin@highfieldcommunitycentre.org</t>
  </si>
  <si>
    <t>Sharon Lowe – Building Manager 01442 395 353</t>
  </si>
  <si>
    <t>HP2 5SB</t>
  </si>
  <si>
    <t>HP3 8EW</t>
  </si>
  <si>
    <t>HP3 8AP</t>
  </si>
  <si>
    <t>Tony Moore
07768 147 181</t>
  </si>
  <si>
    <t>Equipment store</t>
  </si>
  <si>
    <t>tringcc@hotmail.com</t>
  </si>
  <si>
    <t>Tony for access 07768 147 181</t>
  </si>
  <si>
    <t>3 St Marys Road</t>
  </si>
  <si>
    <t>Location (Who / What / Where)</t>
  </si>
  <si>
    <t>Combination number or Password</t>
  </si>
  <si>
    <t>Bellgate Shopping Centre gate padlock</t>
  </si>
  <si>
    <t>C2358</t>
  </si>
  <si>
    <t>Bennettsgate Shopping Centre loft access padlock (by number 17)</t>
  </si>
  <si>
    <t>Combination padlock fitted 08/12/2021</t>
  </si>
  <si>
    <t>Berkhamsted Civic Centre Customer Services (CSU)</t>
  </si>
  <si>
    <t>C4670X</t>
  </si>
  <si>
    <t>Berkhamsted Civic Centre customer services printer room</t>
  </si>
  <si>
    <t>C1478X</t>
  </si>
  <si>
    <t>Berkhamsted Civic Centre toilets on ground floor</t>
  </si>
  <si>
    <t>C1368Y</t>
  </si>
  <si>
    <t>Same code for ladies, Gents and Disabled</t>
  </si>
  <si>
    <t>Brickfields Industrial Units toilets and washroom</t>
  </si>
  <si>
    <t>Code for all combination padlocks</t>
  </si>
  <si>
    <t>Key Boxes for Unoccupied Buildings</t>
  </si>
  <si>
    <t>Ask Tony for any queries</t>
  </si>
  <si>
    <t>Ian Wilson 07771 538 909 (Usually on site)</t>
  </si>
  <si>
    <t>PAC system computer</t>
  </si>
  <si>
    <t>Dacorum2005</t>
  </si>
  <si>
    <t>Identify user by swiping black plastic fob</t>
  </si>
  <si>
    <t>The Bury back door (facing car park)</t>
  </si>
  <si>
    <t>The Bury door at the top of the back stairs</t>
  </si>
  <si>
    <t>C531Y</t>
  </si>
  <si>
    <t>The Bury intruder alarm</t>
  </si>
  <si>
    <t>The Bury office doors</t>
  </si>
  <si>
    <t>C567YZ</t>
  </si>
  <si>
    <t>Toilets and washroom are a common-user area. Plant room to the rear of unit 12 / opposite unit 18 is landlord's responsibility. Code changed 09/03/2020</t>
  </si>
  <si>
    <t>Nash Mills Recreation Area Outer gates</t>
  </si>
  <si>
    <t>Height Barriers, Gates and Bollards for Playing Fields</t>
  </si>
  <si>
    <t>Field Name</t>
  </si>
  <si>
    <t>Access</t>
  </si>
  <si>
    <t>High Street Green, Adeyfield</t>
  </si>
  <si>
    <t>Gate</t>
  </si>
  <si>
    <t>Pennine Way, Grovehill</t>
  </si>
  <si>
    <t>Grovehill Playing Fields</t>
  </si>
  <si>
    <t>Height Barrier</t>
  </si>
  <si>
    <t>Cupid Green Playing Fields, Grovehill</t>
  </si>
  <si>
    <t>103 key</t>
  </si>
  <si>
    <t>Height Barrier / gate</t>
  </si>
  <si>
    <t>Gadebridge Lane, Gadebridge</t>
  </si>
  <si>
    <t>Warners End Valley, Warners End</t>
  </si>
  <si>
    <t>Bollard on Butts End</t>
  </si>
  <si>
    <t>Bollard on Galley Hill</t>
  </si>
  <si>
    <t>Flaunden Playing Fields, Bovingdon</t>
  </si>
  <si>
    <t>Velvet Lawn, Berkhamsted</t>
  </si>
  <si>
    <t>Butts Meadow, Berkhamsted</t>
  </si>
  <si>
    <t>Bollard</t>
  </si>
  <si>
    <t>Pound Meadow, Tring</t>
  </si>
  <si>
    <t>Mortimer Hill, Tring</t>
  </si>
  <si>
    <t>Chaulden Playing Fields, Chaulden</t>
  </si>
  <si>
    <t>Leverstock Green Field, Leverstock Green</t>
  </si>
  <si>
    <t>Reith Fields, Adeyfield</t>
  </si>
  <si>
    <t>01944A then ENTER to disable (Wait for 2 beeps!)</t>
  </si>
  <si>
    <t>Do Not Enter Without an Appointment!</t>
  </si>
  <si>
    <t>Buildings B and C Fleet Services and MOT bay</t>
  </si>
  <si>
    <t>Poppy Fields Cemetery (Bunkers Park)</t>
  </si>
  <si>
    <t>Ask DENS or Horace!</t>
  </si>
  <si>
    <t>Hemel Hempstead town centre toilets (near Roundhouse)</t>
  </si>
  <si>
    <t>Market traders only!</t>
  </si>
  <si>
    <t>Forum Green Zone Lockers 0353, 0354, 0374, 0376, 0399, 0417</t>
  </si>
  <si>
    <t>Building Services area on 2nd floor</t>
  </si>
  <si>
    <t>The Counting House, Tring, door to basement</t>
  </si>
  <si>
    <t>The Counting House, Tring, electrical cupboard, ground floor gents toilets</t>
  </si>
  <si>
    <t>Combination padlock</t>
  </si>
  <si>
    <t>Kingshill Cemetery Workshop, Welfare Area and Toilets</t>
  </si>
  <si>
    <t>01442 250 458 Mandy Harland – Building Manager
07979 524 797 Personal mobile</t>
  </si>
  <si>
    <t>Michelle Anderson 01442 228 230</t>
  </si>
  <si>
    <t>Michelle.Anderson@dacorum.gov.uk</t>
  </si>
  <si>
    <t>was C2678Y</t>
  </si>
  <si>
    <t>C1972YZ</t>
  </si>
  <si>
    <t>Rob Cassidy – Parks and Open Spaces Officer
(Clean Safe &amp; Green) 01442 228 853</t>
  </si>
  <si>
    <t>Contact 1 Telephone</t>
  </si>
  <si>
    <t>Contact 2 Email</t>
  </si>
  <si>
    <t>Office hours M-F 09:00 - 17:00</t>
  </si>
  <si>
    <t>Combinations and Access</t>
  </si>
  <si>
    <t>Brickfields Industrial Estate Unit 12 electronic lock</t>
  </si>
  <si>
    <t>Keysafe in the toilets and washroom code 1972. For access using the manual locks</t>
  </si>
  <si>
    <t>The Forum, Building Services Key Cupboard</t>
  </si>
  <si>
    <t>C2570Y</t>
  </si>
  <si>
    <t>Gate / Bollards</t>
  </si>
  <si>
    <t>Richard.Tattersall@dacorum.gov.uk</t>
  </si>
  <si>
    <t>Miswell Lane, Tring</t>
  </si>
  <si>
    <t>HP1 1LS</t>
  </si>
  <si>
    <t>Berkhamsted Civic Centre Car Park Barrier</t>
  </si>
  <si>
    <t>Building A Main Building or Hangar</t>
  </si>
  <si>
    <t>Jane Marchant – Lead Assistant 07908 098 000 (Personal)
01442 213 864 or ext. 2949
Matt Stedman – Playground Operations Lead Officer
01442 215 872 / 07568 141 854</t>
  </si>
  <si>
    <t>Jane.marchant@dacorum.gov.uk
Matthew.Stedman@dacorum.gov.uk
chaulden.adventureplayground@dacorum.gov.uk</t>
  </si>
  <si>
    <t>Hemel Hempstead Bowls Club (Section used by CSG)</t>
  </si>
  <si>
    <t>Adjacent to Cupid Green Depot</t>
  </si>
  <si>
    <t>The Forge Car Park Public Convenience Tring</t>
  </si>
  <si>
    <t>Changed October 2023</t>
  </si>
  <si>
    <t>es-estates@dacorum.gov.uk</t>
  </si>
  <si>
    <t>Julie Banks, Centre Manager – 01442 262 542 
Mobile 07979 390 789 (personal)</t>
  </si>
  <si>
    <t>Centre Office 01442 890 192 Mondays to Thursdays 09:00 – 13:00
Susan Lanning, Centre Manager – 07836 593 037
Sarah, Nursery Manager – 07885 817 247</t>
  </si>
  <si>
    <t>admin@woodhall-farm-community-centre.co.uk</t>
  </si>
  <si>
    <r>
      <t xml:space="preserve">Joe Guiton, Leisure Services Manager – 01442 228 429
</t>
    </r>
    <r>
      <rPr>
        <u/>
        <sz val="11"/>
        <color rgb="FF0563C1"/>
        <rFont val="Calibri"/>
        <family val="2"/>
        <scheme val="minor"/>
      </rPr>
      <t>Joe.Guiton@dacorum.gov.uk</t>
    </r>
  </si>
  <si>
    <t>A small part of the building is used by CSG</t>
  </si>
  <si>
    <t>Dan.Rodger@dacorum.gov.uk</t>
  </si>
  <si>
    <t>Dan Rodger, Parking Services Manager 01442 228 474 / 07929 841 486</t>
  </si>
  <si>
    <t>Kodjo Taylor – Commercial Premises Safety Assistant 07977 725 170</t>
  </si>
  <si>
    <t>Kodjo.Taylor@dacorum.gov.uk</t>
  </si>
  <si>
    <t>Anthony.Moore@dacorum.gov.uk</t>
  </si>
  <si>
    <t>Cricket Club - Codes to Access</t>
  </si>
  <si>
    <t>Oliver Sheahan, Centre Manager – 01442 973 198
Hilary Moorton, Assistant Centre Manager</t>
  </si>
  <si>
    <t>Danny Taber – Operations Lead Officer
01442 242 852 or 07854 633 317
09:30 – 18:30 Mon – Fri (Open sometimes to 21:00)
12:00 – 23:00 Saturdays</t>
  </si>
  <si>
    <r>
      <t>Estates and Valuation Department for first contact for access into tenanted areas. Communal areas can be accessed using keys kept in a key safe inside the communal toilets - see '</t>
    </r>
    <r>
      <rPr>
        <b/>
        <sz val="11"/>
        <color theme="1"/>
        <rFont val="Calibri"/>
        <family val="2"/>
        <scheme val="minor"/>
      </rPr>
      <t>Access</t>
    </r>
    <r>
      <rPr>
        <sz val="11"/>
        <color theme="1"/>
        <rFont val="Calibri"/>
        <family val="2"/>
        <scheme val="minor"/>
      </rPr>
      <t>' tab for codes.</t>
    </r>
  </si>
  <si>
    <t>Claire Reynolds, Centre Manager – 01442 242 039
David Allum, Caretaker – 07725 339 276</t>
  </si>
  <si>
    <t>Horace Whyte 07825 522 216</t>
  </si>
  <si>
    <t>Sean Allport, Centre Manager – 01442 251 002 / 07306 126 335
Sean 07958 462 657 (Personal)</t>
  </si>
  <si>
    <t>sean.allport@gadebridge.com</t>
  </si>
  <si>
    <t>Kylna Court Car Park Barrier</t>
  </si>
  <si>
    <t>*1509*</t>
  </si>
  <si>
    <t>Jim Mitchell 07789 924 211</t>
  </si>
  <si>
    <t>3 Queensway</t>
  </si>
  <si>
    <t>HP23 4TP</t>
  </si>
  <si>
    <t>Gary.MacDonald@dacorum.gov.uk
lik.yeung@dacorum.gov.uk</t>
  </si>
  <si>
    <t>Gary MacDonald and Lik Yeung
Assistant Building Managers 01442 228 925 / 07815 610 250</t>
  </si>
  <si>
    <t>Library opening times?</t>
  </si>
  <si>
    <t>The Gables (The Relationships Service)</t>
  </si>
  <si>
    <t>16 industrial units - no communal areas</t>
  </si>
  <si>
    <t>Leased single occupancy Internal Repairs terms since 27/02/2017. Formerly Citizens Advice Bureau and Community Action Dacorum</t>
  </si>
  <si>
    <t>Darren Littleford, Assistant Building Manager
Keith Montgomery, Assistant Building Manager
Nigel Hootley, Assistant Building Manager
Office 01442 228 951 Duty Mobile 07816 367 806</t>
  </si>
  <si>
    <t>Darren.Littleford@dacorum.gov.uk
Keith.Montgomery@dacorum.gov.uk
Nigel.Hootley@dacorum.gov.uk</t>
  </si>
  <si>
    <t>Multi-let building with common parts.
Contact Estates for access to tenant's areas - see separate tab for individual contacts</t>
  </si>
  <si>
    <t>Lee.Courtney@dacorum.gov.uk</t>
  </si>
  <si>
    <t>Orchard</t>
  </si>
  <si>
    <t>UPRN</t>
  </si>
  <si>
    <t>Apsley Industrial Estate (Units 1 to 16)</t>
  </si>
  <si>
    <t>ross.field@hertfordshire.gov.uk</t>
  </si>
  <si>
    <t>Main Enquiry Line 0300 003 2324
Sophie McCormack, Premises co-ordinator – 07946 322 533
Emma Winter, Head of Operations – 07958 792 537 (Personal)
Cassie Crawley, Senior Administrator – 07969 534 884 (Personal)
Sue Smith, Head of Finance – 07500 964 954 (Personal)</t>
  </si>
  <si>
    <r>
      <t xml:space="preserve">See </t>
    </r>
    <r>
      <rPr>
        <b/>
        <sz val="11"/>
        <color theme="1"/>
        <rFont val="Calibri"/>
        <family val="2"/>
        <scheme val="minor"/>
      </rPr>
      <t>Guide</t>
    </r>
    <r>
      <rPr>
        <sz val="11"/>
        <color theme="1"/>
        <rFont val="Calibri"/>
        <family val="2"/>
        <scheme val="minor"/>
      </rPr>
      <t xml:space="preserve"> Tab for Colour Coding</t>
    </r>
  </si>
  <si>
    <t>Reception@communityactiondacorum.org.uk
liz@communityactiondacorum.org.uk
Helen@communityactiondacorum.org.uk</t>
  </si>
  <si>
    <t>Office hours Mondays to Fridays 12:00 - 16:00
Building open 08:00 - 23:30</t>
  </si>
  <si>
    <t>01442 262 746 (09:00 - 15:00 Mon - Fri)
Sally Kingswell, Centre Manager
Karen Cullum, Senior Carer</t>
  </si>
  <si>
    <t>Mark Hanna, Chief Executive, Age UK Hertfordshire – 01442 259 049
Carla Johnson - Director of Operations</t>
  </si>
  <si>
    <t>ceo@ageukherts.org.uk
AA.servicemanager@ageukherts.org.uk</t>
  </si>
  <si>
    <t>Liz King – Facilities and I.T. Manager 01442 617 663
(Liz works Wednesdays, Thursdays, and Fridays)
Louise / Charlie – Reception 01442 253 935 M-F 09:00 - 16:00
Helen Mutio – Deputy Chief Executive 01442 617 631 or 07870 797 281</t>
  </si>
  <si>
    <t>Lee Courtney, Waste Services Interim Operations Manager
07738 088 945 (Personal)
01442 228 024 (Office)</t>
  </si>
  <si>
    <t>Ross Field, Library Manager – 01442 453 230 or 07977 375 218
Based at Hemel Hempstead Library</t>
  </si>
  <si>
    <t>Office 01442 228 066
Chris Conley – Operations Manager (Clean Safe and Green) 07747 006 162
Laurence Coleman – Clean Safe and Green Supervisor 07771 945 979</t>
  </si>
  <si>
    <t>cemeteries@dacorum.gov.uk
Chris.Conley@dacorum.gov.uk
Laurence.Coleman@dacorum.gov.uk</t>
  </si>
  <si>
    <t>enquiries@adeyfield.org.uk</t>
  </si>
  <si>
    <t>Office hours Mondays to Fridays 14:00 - 17:00</t>
  </si>
  <si>
    <t>Julie Banks, Centre Manager
Mobile 07979 390 789 (personal)
Centre Office 01442 960 264 or 01442 264 173</t>
  </si>
  <si>
    <t>Richard Tattersall for access - 07766 443 397</t>
  </si>
  <si>
    <t>Office hours Mondays to Fridays 09:00 - 13:00
Café Mon - Thurs 09:00 - 12:30, Fridays 09:00 - 11:00</t>
  </si>
  <si>
    <t>Sasha Wright, Centre Manager –  07769 256 390 (Personal Mobile)
Office 01442 211 688
Mike, Caretaker 07519 863 908</t>
  </si>
  <si>
    <t>Nessan Heduan, Venue and Operations Lead Officer – 01442 228 092
Stewart Fairthorne, Theatre Manager – 01442 228 098
Switchboard / Booking Office 01442 228 095</t>
  </si>
  <si>
    <t>Regularly Hired by Tring Tornadoes, Tony for access</t>
  </si>
  <si>
    <t>Replacement combination padlock fitted 28/09/2022 (Main door was 35610)</t>
  </si>
  <si>
    <t>Main door 00081</t>
  </si>
  <si>
    <t>Plant room / store was 3561</t>
  </si>
  <si>
    <t>Plant room / store rear door 0083</t>
  </si>
  <si>
    <t>Toilets C3561X or 01653</t>
  </si>
  <si>
    <r>
      <t xml:space="preserve">Also known as Hangar
</t>
    </r>
    <r>
      <rPr>
        <b/>
        <sz val="11"/>
        <color rgb="FFFF0000"/>
        <rFont val="Calibri"/>
        <family val="2"/>
        <scheme val="minor"/>
      </rPr>
      <t>Duty Supervisor 07825 674 703 (Emergency Use)</t>
    </r>
  </si>
  <si>
    <t>Duty Supervisor 07825 674 703 (Emergency Use)</t>
  </si>
  <si>
    <r>
      <t xml:space="preserve">David Golding - Transport Manager
</t>
    </r>
    <r>
      <rPr>
        <b/>
        <sz val="11"/>
        <color rgb="FFFF0000"/>
        <rFont val="Calibri"/>
        <family val="2"/>
        <scheme val="minor"/>
      </rPr>
      <t>Duty Supervisor 07825 674 703 (Emergency Use)</t>
    </r>
  </si>
  <si>
    <t>Nessan.Heduan@dacorum.gov.uk
stewart.fairthorne@dacorum.gov.uk</t>
  </si>
  <si>
    <t>danny.taber@dacorum.gov.uk
bennettsend.adventureplayground@dacorum.gov.uk
Callum.Jones@dacorum.gov.uk</t>
  </si>
  <si>
    <t>Danny Taber – Operations Lead Officer
01443 242 852 / 07854 633 317
Callum Jones – Assistant Lead Officer</t>
  </si>
  <si>
    <t>sophiem@relationships-service.org.uk
emmaw@relationships-service.org.uk
CassieC@relationships-service.org.uk
sues@relationships-service.org.uk</t>
  </si>
  <si>
    <t>Building occupied every Wednesday and Thursday</t>
  </si>
  <si>
    <r>
      <t xml:space="preserve">Lesley Hicks 01442 268 723
</t>
    </r>
    <r>
      <rPr>
        <b/>
        <sz val="11"/>
        <color rgb="FFFF0000"/>
        <rFont val="Calibri"/>
        <family val="2"/>
        <scheme val="minor"/>
      </rPr>
      <t>Emergency Contact (Tom, Caretaker) 07856 350 037</t>
    </r>
  </si>
  <si>
    <t>Management Survey Required</t>
  </si>
  <si>
    <t>ACM'S</t>
  </si>
  <si>
    <t>Total</t>
  </si>
  <si>
    <t>Re - Inspection Cost / Management Survey</t>
  </si>
  <si>
    <t>Included Below</t>
  </si>
  <si>
    <t>Job ref</t>
  </si>
  <si>
    <t>Date of original report</t>
  </si>
  <si>
    <t>G-18816</t>
  </si>
  <si>
    <t>G-17388</t>
  </si>
  <si>
    <t>G-06035</t>
  </si>
  <si>
    <t>G-19530</t>
  </si>
  <si>
    <t>G-17572</t>
  </si>
  <si>
    <t>G-20911</t>
  </si>
  <si>
    <t>G-17887</t>
  </si>
  <si>
    <t>G-21251</t>
  </si>
  <si>
    <t>G-17256</t>
  </si>
  <si>
    <t>G-22039</t>
  </si>
  <si>
    <t>G-17855</t>
  </si>
  <si>
    <t>G-17364</t>
  </si>
  <si>
    <t>G-17421</t>
  </si>
  <si>
    <t>G-17763</t>
  </si>
  <si>
    <t>G-17372</t>
  </si>
  <si>
    <t>G-17886</t>
  </si>
  <si>
    <t>G-17389</t>
  </si>
  <si>
    <t>G-17390</t>
  </si>
  <si>
    <t>G-17325</t>
  </si>
  <si>
    <t>G-17327</t>
  </si>
  <si>
    <t>G-17289</t>
  </si>
  <si>
    <t>G-17643</t>
  </si>
  <si>
    <t>G-17644</t>
  </si>
  <si>
    <t>G-19396</t>
  </si>
  <si>
    <t>G-17444</t>
  </si>
  <si>
    <t>G-17291</t>
  </si>
  <si>
    <t>G-17885</t>
  </si>
  <si>
    <t>G-19257</t>
  </si>
  <si>
    <t>G-17445</t>
  </si>
  <si>
    <t>G-18507</t>
  </si>
  <si>
    <t>G-17318</t>
  </si>
  <si>
    <t>G-22181</t>
  </si>
  <si>
    <t>G-17446</t>
  </si>
  <si>
    <t>G-18148</t>
  </si>
  <si>
    <t>G-19397</t>
  </si>
  <si>
    <t>G-18146</t>
  </si>
  <si>
    <t>G-21195</t>
  </si>
  <si>
    <t>G-22147</t>
  </si>
  <si>
    <t xml:space="preserve">Stoneycroft Shopping Centre </t>
  </si>
  <si>
    <t>G-18147</t>
  </si>
  <si>
    <t>G-18292</t>
  </si>
  <si>
    <t>G-17366</t>
  </si>
  <si>
    <t>G-18293</t>
  </si>
  <si>
    <t>G-18508</t>
  </si>
  <si>
    <t>G-19398</t>
  </si>
  <si>
    <t>G-18471</t>
  </si>
  <si>
    <t>G-17854</t>
  </si>
  <si>
    <t>G-17365</t>
  </si>
  <si>
    <t>G-17640</t>
  </si>
  <si>
    <t>G-21635</t>
  </si>
  <si>
    <t>G-17661</t>
  </si>
  <si>
    <t>G-21053</t>
  </si>
  <si>
    <t>G-17329</t>
  </si>
  <si>
    <t>G-19212</t>
  </si>
  <si>
    <t>G-19211</t>
  </si>
  <si>
    <t>G-23387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</si>
</sst>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164" formatCode="[$-F800]dddd\,\ mmmm\ dd\,\ yyyy"/>
  </numFmts>
  <fonts count="2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rgb="FF0563C1"/>
      <name val="Calibri"/>
      <family val="2"/>
      <scheme val="minor"/>
    </font>
    <font>
      <sz val="10"/>
      <name val="Arial"/>
      <family val="2"/>
    </font>
    <font>
      <sz val="16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sz val="12"/>
      <color theme="0"/>
      <name val="Arial"/>
      <family val="2"/>
    </font>
    <font>
      <u/>
      <sz val="12"/>
      <color theme="0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198E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E6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66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5" fillId="0" borderId="0" applyNumberFormat="0" applyFill="0" applyBorder="0" applyAlignment="0" applyProtection="0"/>
    <xf numFmtId="0" fontId="10" fillId="0" borderId="0"/>
    <xf numFmtId="0" fontId="14" fillId="0" borderId="0" applyNumberFormat="0" applyFill="0" applyBorder="0" applyAlignment="0" applyProtection="0"/>
    <xf numFmtId="164" fontId="20" fillId="0" borderId="0"/>
    <xf numFmtId="164" fontId="5" fillId="0" borderId="0" applyNumberFormat="0" applyFill="0" applyBorder="0" applyAlignment="0" applyProtection="0"/>
    <xf numFmtId="44" fontId="20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2" fillId="2" borderId="0" xfId="0" applyFont="1" applyFill="1"/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5" borderId="0" xfId="0" applyFill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8" borderId="0" xfId="0" applyFill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1" applyFill="1" applyAlignment="1">
      <alignment vertical="center" wrapText="1"/>
    </xf>
    <xf numFmtId="0" fontId="5" fillId="0" borderId="0" xfId="1" applyFill="1" applyAlignment="1">
      <alignment horizontal="left" vertical="center" wrapText="1"/>
    </xf>
    <xf numFmtId="0" fontId="0" fillId="11" borderId="0" xfId="0" applyFill="1" applyAlignment="1">
      <alignment vertical="center" wrapText="1"/>
    </xf>
    <xf numFmtId="0" fontId="0" fillId="0" borderId="0" xfId="0" applyAlignment="1">
      <alignment horizontal="left" vertical="center"/>
    </xf>
    <xf numFmtId="0" fontId="0" fillId="12" borderId="0" xfId="0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17" fontId="3" fillId="0" borderId="0" xfId="0" applyNumberFormat="1" applyFont="1" applyAlignment="1">
      <alignment horizontal="center" vertical="center" wrapText="1"/>
    </xf>
    <xf numFmtId="1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1" applyFont="1" applyFill="1" applyAlignment="1">
      <alignment horizontal="left" vertical="center" wrapText="1"/>
    </xf>
    <xf numFmtId="164" fontId="2" fillId="2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9" borderId="0" xfId="0" applyFill="1" applyAlignment="1">
      <alignment horizontal="left" vertical="center" wrapText="1"/>
    </xf>
    <xf numFmtId="0" fontId="0" fillId="9" borderId="0" xfId="0" applyFill="1" applyAlignment="1">
      <alignment vertical="center" wrapText="1"/>
    </xf>
    <xf numFmtId="0" fontId="0" fillId="9" borderId="0" xfId="0" applyFill="1" applyAlignment="1">
      <alignment vertical="center"/>
    </xf>
    <xf numFmtId="0" fontId="5" fillId="0" borderId="0" xfId="1" applyFill="1" applyBorder="1" applyAlignment="1">
      <alignment vertical="center" wrapText="1"/>
    </xf>
    <xf numFmtId="0" fontId="5" fillId="0" borderId="0" xfId="1" applyFill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9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/>
    </xf>
    <xf numFmtId="0" fontId="5" fillId="0" borderId="0" xfId="1" applyAlignment="1">
      <alignment vertical="center" wrapText="1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17" fontId="3" fillId="8" borderId="0" xfId="0" applyNumberFormat="1" applyFont="1" applyFill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0" fontId="3" fillId="0" borderId="0" xfId="1" applyFont="1" applyFill="1" applyAlignment="1">
      <alignment vertical="center" wrapText="1"/>
    </xf>
    <xf numFmtId="0" fontId="11" fillId="15" borderId="0" xfId="2" applyFont="1" applyFill="1" applyAlignment="1" applyProtection="1">
      <alignment horizontal="left" vertical="center"/>
      <protection locked="0"/>
    </xf>
    <xf numFmtId="0" fontId="12" fillId="15" borderId="0" xfId="2" applyFont="1" applyFill="1" applyAlignment="1" applyProtection="1">
      <alignment horizontal="center" vertical="center" wrapText="1"/>
      <protection locked="0"/>
    </xf>
    <xf numFmtId="0" fontId="12" fillId="0" borderId="0" xfId="2" applyFont="1" applyAlignment="1" applyProtection="1">
      <alignment horizontal="center" vertical="center" wrapText="1"/>
      <protection locked="0"/>
    </xf>
    <xf numFmtId="0" fontId="12" fillId="0" borderId="0" xfId="2" applyFont="1" applyAlignment="1" applyProtection="1">
      <alignment horizontal="center" wrapText="1"/>
      <protection locked="0"/>
    </xf>
    <xf numFmtId="0" fontId="12" fillId="0" borderId="0" xfId="2" applyFont="1" applyAlignment="1">
      <alignment wrapText="1"/>
    </xf>
    <xf numFmtId="0" fontId="12" fillId="15" borderId="0" xfId="2" applyFont="1" applyFill="1" applyAlignment="1">
      <alignment wrapText="1"/>
    </xf>
    <xf numFmtId="0" fontId="12" fillId="16" borderId="0" xfId="2" applyFont="1" applyFill="1" applyAlignment="1" applyProtection="1">
      <alignment horizontal="center" vertical="center" wrapText="1"/>
      <protection locked="0"/>
    </xf>
    <xf numFmtId="164" fontId="12" fillId="16" borderId="0" xfId="2" applyNumberFormat="1" applyFont="1" applyFill="1" applyAlignment="1" applyProtection="1">
      <alignment horizontal="center" vertical="center" wrapText="1"/>
      <protection locked="0"/>
    </xf>
    <xf numFmtId="164" fontId="13" fillId="0" borderId="0" xfId="2" applyNumberFormat="1" applyFont="1" applyAlignment="1" applyProtection="1">
      <alignment horizontal="center" vertical="center" wrapText="1"/>
      <protection locked="0"/>
    </xf>
    <xf numFmtId="0" fontId="12" fillId="16" borderId="0" xfId="2" applyFont="1" applyFill="1" applyAlignment="1">
      <alignment wrapText="1"/>
    </xf>
    <xf numFmtId="0" fontId="12" fillId="15" borderId="1" xfId="2" applyFont="1" applyFill="1" applyBorder="1" applyAlignment="1" applyProtection="1">
      <alignment horizontal="center" vertical="center" wrapText="1"/>
      <protection locked="0"/>
    </xf>
    <xf numFmtId="0" fontId="12" fillId="15" borderId="1" xfId="2" applyFont="1" applyFill="1" applyBorder="1" applyAlignment="1" applyProtection="1">
      <alignment horizontal="left" vertical="center" wrapText="1"/>
      <protection locked="0"/>
    </xf>
    <xf numFmtId="0" fontId="12" fillId="0" borderId="1" xfId="2" applyFont="1" applyBorder="1" applyAlignment="1" applyProtection="1">
      <alignment horizontal="center" vertical="center" wrapText="1"/>
      <protection locked="0"/>
    </xf>
    <xf numFmtId="49" fontId="12" fillId="0" borderId="1" xfId="2" applyNumberFormat="1" applyFont="1" applyBorder="1" applyAlignment="1" applyProtection="1">
      <alignment horizontal="left" vertical="center" wrapText="1"/>
      <protection locked="0"/>
    </xf>
    <xf numFmtId="0" fontId="12" fillId="0" borderId="0" xfId="2" applyFont="1" applyAlignment="1">
      <alignment horizontal="center" vertical="center" wrapText="1"/>
    </xf>
    <xf numFmtId="49" fontId="12" fillId="0" borderId="1" xfId="3" applyNumberFormat="1" applyFont="1" applyFill="1" applyBorder="1" applyAlignment="1" applyProtection="1">
      <alignment horizontal="left" vertical="center" wrapText="1"/>
      <protection locked="0"/>
    </xf>
    <xf numFmtId="14" fontId="12" fillId="0" borderId="0" xfId="2" applyNumberFormat="1" applyFont="1" applyAlignment="1" applyProtection="1">
      <alignment horizontal="center" wrapText="1"/>
      <protection locked="0"/>
    </xf>
    <xf numFmtId="0" fontId="12" fillId="0" borderId="2" xfId="2" applyFont="1" applyBorder="1" applyAlignment="1">
      <alignment horizontal="center" vertical="center" wrapText="1"/>
    </xf>
    <xf numFmtId="0" fontId="12" fillId="0" borderId="0" xfId="2" applyFont="1" applyAlignment="1">
      <alignment vertical="center" wrapText="1"/>
    </xf>
    <xf numFmtId="0" fontId="12" fillId="0" borderId="0" xfId="2" applyFont="1" applyAlignment="1">
      <alignment horizontal="center" wrapText="1"/>
    </xf>
    <xf numFmtId="0" fontId="12" fillId="0" borderId="1" xfId="2" applyFont="1" applyBorder="1" applyAlignment="1">
      <alignment horizontal="left" vertical="center" wrapText="1"/>
    </xf>
    <xf numFmtId="0" fontId="12" fillId="0" borderId="1" xfId="2" applyFont="1" applyBorder="1" applyAlignment="1">
      <alignment horizontal="center" vertical="center" wrapText="1"/>
    </xf>
    <xf numFmtId="0" fontId="12" fillId="0" borderId="1" xfId="3" applyFont="1" applyFill="1" applyBorder="1" applyAlignment="1" applyProtection="1">
      <alignment horizontal="left" vertical="center" wrapText="1"/>
      <protection locked="0"/>
    </xf>
    <xf numFmtId="0" fontId="12" fillId="0" borderId="0" xfId="2" applyFont="1" applyAlignment="1">
      <alignment horizontal="left" wrapText="1"/>
    </xf>
    <xf numFmtId="0" fontId="15" fillId="14" borderId="1" xfId="2" applyFont="1" applyFill="1" applyBorder="1" applyAlignment="1" applyProtection="1">
      <alignment horizontal="center" vertical="center" wrapText="1"/>
      <protection locked="0"/>
    </xf>
    <xf numFmtId="49" fontId="16" fillId="14" borderId="1" xfId="2" applyNumberFormat="1" applyFont="1" applyFill="1" applyBorder="1" applyAlignment="1" applyProtection="1">
      <alignment horizontal="center" vertical="center" wrapText="1"/>
      <protection locked="0"/>
    </xf>
    <xf numFmtId="0" fontId="17" fillId="0" borderId="0" xfId="2" applyFont="1" applyAlignment="1" applyProtection="1">
      <alignment horizontal="center" vertical="center" wrapText="1"/>
      <protection locked="0"/>
    </xf>
    <xf numFmtId="0" fontId="17" fillId="0" borderId="0" xfId="2" applyFont="1" applyAlignment="1">
      <alignment horizontal="center" vertical="center" wrapText="1"/>
    </xf>
    <xf numFmtId="49" fontId="18" fillId="0" borderId="1" xfId="3" applyNumberFormat="1" applyFont="1" applyFill="1" applyBorder="1" applyAlignment="1" applyProtection="1">
      <alignment horizontal="left" vertical="center" wrapText="1"/>
      <protection locked="0"/>
    </xf>
    <xf numFmtId="0" fontId="10" fillId="0" borderId="2" xfId="3" applyFont="1" applyFill="1" applyBorder="1" applyAlignment="1" applyProtection="1">
      <alignment horizontal="left" vertical="center" wrapText="1"/>
      <protection locked="0"/>
    </xf>
    <xf numFmtId="0" fontId="10" fillId="0" borderId="1" xfId="2" applyBorder="1" applyAlignment="1" applyProtection="1">
      <alignment horizontal="center" vertical="center" wrapText="1"/>
      <protection locked="0"/>
    </xf>
    <xf numFmtId="0" fontId="10" fillId="0" borderId="1" xfId="2" applyBorder="1" applyAlignment="1">
      <alignment horizontal="left" vertical="center" wrapText="1"/>
    </xf>
    <xf numFmtId="0" fontId="10" fillId="0" borderId="2" xfId="2" applyBorder="1" applyAlignment="1">
      <alignment horizontal="center" vertical="center" wrapText="1"/>
    </xf>
    <xf numFmtId="0" fontId="10" fillId="0" borderId="1" xfId="2" applyBorder="1" applyAlignment="1">
      <alignment horizontal="center" vertical="center" wrapText="1"/>
    </xf>
    <xf numFmtId="0" fontId="10" fillId="0" borderId="1" xfId="3" applyFont="1" applyFill="1" applyBorder="1" applyAlignment="1" applyProtection="1">
      <alignment horizontal="left" vertical="center" wrapText="1"/>
      <protection locked="0"/>
    </xf>
    <xf numFmtId="0" fontId="9" fillId="0" borderId="0" xfId="0" applyFont="1" applyAlignment="1">
      <alignment horizontal="left" vertical="center" wrapText="1"/>
    </xf>
    <xf numFmtId="49" fontId="5" fillId="0" borderId="0" xfId="1" applyNumberFormat="1" applyFill="1" applyAlignment="1">
      <alignment horizontal="left" vertical="center" wrapText="1"/>
    </xf>
    <xf numFmtId="49" fontId="0" fillId="9" borderId="0" xfId="0" applyNumberFormat="1" applyFill="1" applyAlignment="1">
      <alignment horizontal="left" vertical="center" wrapText="1"/>
    </xf>
    <xf numFmtId="49" fontId="0" fillId="0" borderId="0" xfId="0" applyNumberFormat="1" applyAlignment="1">
      <alignment vertical="center" wrapText="1"/>
    </xf>
    <xf numFmtId="49" fontId="5" fillId="9" borderId="0" xfId="1" applyNumberFormat="1" applyFill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5" fillId="0" borderId="0" xfId="1" applyNumberFormat="1" applyFill="1" applyAlignment="1">
      <alignment vertical="center" wrapText="1"/>
    </xf>
    <xf numFmtId="49" fontId="5" fillId="0" borderId="0" xfId="1" applyNumberFormat="1" applyAlignment="1">
      <alignment vertical="center" wrapText="1"/>
    </xf>
    <xf numFmtId="49" fontId="5" fillId="0" borderId="0" xfId="1" applyNumberFormat="1" applyFill="1" applyBorder="1" applyAlignment="1">
      <alignment vertical="center" wrapText="1"/>
    </xf>
    <xf numFmtId="49" fontId="10" fillId="0" borderId="1" xfId="3" applyNumberFormat="1" applyFont="1" applyFill="1" applyBorder="1" applyAlignment="1" applyProtection="1">
      <alignment horizontal="left" vertical="center" wrapText="1"/>
      <protection locked="0"/>
    </xf>
    <xf numFmtId="0" fontId="5" fillId="0" borderId="0" xfId="1" applyAlignment="1">
      <alignment horizontal="left" vertical="center" wrapText="1"/>
    </xf>
    <xf numFmtId="49" fontId="5" fillId="0" borderId="0" xfId="1" applyNumberFormat="1" applyFill="1" applyBorder="1" applyAlignment="1">
      <alignment horizontal="left" vertical="center" wrapText="1"/>
    </xf>
    <xf numFmtId="49" fontId="10" fillId="0" borderId="1" xfId="2" applyNumberFormat="1" applyBorder="1" applyAlignment="1" applyProtection="1">
      <alignment horizontal="left" vertical="center" wrapText="1"/>
      <protection locked="0"/>
    </xf>
    <xf numFmtId="0" fontId="1" fillId="10" borderId="0" xfId="0" applyFont="1" applyFill="1" applyAlignment="1">
      <alignment horizontal="center" vertical="center" wrapText="1"/>
    </xf>
    <xf numFmtId="0" fontId="6" fillId="10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/>
    </xf>
    <xf numFmtId="0" fontId="12" fillId="0" borderId="1" xfId="2" quotePrefix="1" applyFont="1" applyBorder="1" applyAlignment="1" applyProtection="1">
      <alignment horizontal="center" vertical="center" wrapText="1"/>
      <protection locked="0"/>
    </xf>
    <xf numFmtId="49" fontId="5" fillId="0" borderId="0" xfId="1" applyNumberFormat="1" applyAlignment="1">
      <alignment horizontal="left" vertical="center" wrapText="1"/>
    </xf>
    <xf numFmtId="0" fontId="0" fillId="6" borderId="0" xfId="0" applyFill="1" applyAlignment="1">
      <alignment horizontal="left" vertical="center" wrapText="1"/>
    </xf>
    <xf numFmtId="0" fontId="0" fillId="13" borderId="0" xfId="0" applyFill="1" applyAlignment="1">
      <alignment horizontal="left" vertical="center" wrapText="1"/>
    </xf>
    <xf numFmtId="0" fontId="2" fillId="10" borderId="0" xfId="0" applyFont="1" applyFill="1" applyAlignment="1">
      <alignment horizontal="center" vertical="center"/>
    </xf>
    <xf numFmtId="0" fontId="9" fillId="0" borderId="0" xfId="1" applyFont="1" applyFill="1" applyAlignment="1">
      <alignment horizontal="left" vertical="center" wrapText="1"/>
    </xf>
    <xf numFmtId="0" fontId="0" fillId="2" borderId="0" xfId="0" quotePrefix="1" applyFill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0" fillId="17" borderId="0" xfId="0" applyFill="1" applyAlignment="1">
      <alignment vertical="center" wrapText="1"/>
    </xf>
    <xf numFmtId="0" fontId="0" fillId="17" borderId="0" xfId="0" applyFill="1" applyAlignment="1">
      <alignment horizontal="left" vertical="center" wrapText="1"/>
    </xf>
    <xf numFmtId="0" fontId="8" fillId="0" borderId="0" xfId="0" applyFont="1" applyAlignment="1">
      <alignment vertical="center"/>
    </xf>
    <xf numFmtId="17" fontId="8" fillId="10" borderId="0" xfId="0" applyNumberFormat="1" applyFont="1" applyFill="1" applyAlignment="1">
      <alignment horizontal="center" vertical="center" wrapText="1"/>
    </xf>
    <xf numFmtId="0" fontId="2" fillId="18" borderId="0" xfId="0" applyFont="1" applyFill="1"/>
    <xf numFmtId="0" fontId="0" fillId="18" borderId="0" xfId="0" applyFill="1" applyAlignment="1">
      <alignment wrapText="1"/>
    </xf>
    <xf numFmtId="0" fontId="0" fillId="18" borderId="0" xfId="0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44" fontId="22" fillId="0" borderId="0" xfId="6" applyFont="1" applyAlignment="1">
      <alignment vertical="center"/>
    </xf>
    <xf numFmtId="44" fontId="22" fillId="0" borderId="0" xfId="6" applyFont="1" applyAlignment="1">
      <alignment horizontal="left" vertical="center" wrapText="1"/>
    </xf>
    <xf numFmtId="44" fontId="22" fillId="0" borderId="0" xfId="6" applyFont="1" applyAlignment="1">
      <alignment vertical="center" wrapText="1"/>
    </xf>
    <xf numFmtId="44" fontId="22" fillId="0" borderId="0" xfId="6" applyFont="1" applyAlignment="1">
      <alignment horizontal="left" vertical="center"/>
    </xf>
    <xf numFmtId="0" fontId="22" fillId="0" borderId="0" xfId="0" applyFont="1"/>
    <xf numFmtId="44" fontId="22" fillId="0" borderId="0" xfId="0" applyNumberFormat="1" applyFont="1"/>
    <xf numFmtId="14" fontId="0" fillId="0" borderId="0" xfId="0" applyNumberFormat="1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5" fillId="14" borderId="3" xfId="2" applyFont="1" applyFill="1" applyBorder="1" applyAlignment="1" applyProtection="1">
      <alignment horizontal="center" vertical="center" wrapText="1"/>
      <protection locked="0"/>
    </xf>
    <xf numFmtId="0" fontId="15" fillId="14" borderId="4" xfId="2" applyFont="1" applyFill="1" applyBorder="1" applyAlignment="1" applyProtection="1">
      <alignment horizontal="center" vertical="center" wrapText="1"/>
      <protection locked="0"/>
    </xf>
    <xf numFmtId="0" fontId="15" fillId="14" borderId="5" xfId="2" applyFont="1" applyFill="1" applyBorder="1" applyAlignment="1" applyProtection="1">
      <alignment horizontal="center" vertical="center" wrapText="1"/>
      <protection locked="0"/>
    </xf>
  </cellXfs>
  <cellStyles count="7">
    <cellStyle name="Currency" xfId="6" builtinId="4"/>
    <cellStyle name="Hyperlink" xfId="1" builtinId="8"/>
    <cellStyle name="Hyperlink 2" xfId="3" xr:uid="{00000000-0005-0000-0000-000001000000}"/>
    <cellStyle name="Hyperlink 3" xfId="5" xr:uid="{00000000-0005-0000-0000-000002000000}"/>
    <cellStyle name="Normal" xfId="0" builtinId="0"/>
    <cellStyle name="Normal 2" xfId="2" xr:uid="{00000000-0005-0000-0000-000004000000}"/>
    <cellStyle name="Normal 3" xfId="4" xr:uid="{00000000-0005-0000-0000-000005000000}"/>
  </cellStyles>
  <dxfs count="8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colors>
    <mruColors>
      <color rgb="FFFF66FF"/>
      <color rgb="FF66FF33"/>
      <color rgb="FF00FFFF"/>
      <color rgb="FF0563C1"/>
      <color rgb="FFFFCCFF"/>
      <color rgb="FFC198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es-estates@dacorum.gov.uk" TargetMode="External"/><Relationship Id="rId18" Type="http://schemas.openxmlformats.org/officeDocument/2006/relationships/hyperlink" Target="mailto:Kodjo.Taylor@dacorum.gov.uk" TargetMode="External"/><Relationship Id="rId26" Type="http://schemas.openxmlformats.org/officeDocument/2006/relationships/hyperlink" Target="mailto:Anthony.Moore@dacorum.gov.uk" TargetMode="External"/><Relationship Id="rId39" Type="http://schemas.openxmlformats.org/officeDocument/2006/relationships/hyperlink" Target="mailto:Lee.Courtney@dacorum.gov.uk" TargetMode="External"/><Relationship Id="rId3" Type="http://schemas.openxmlformats.org/officeDocument/2006/relationships/hyperlink" Target="mailto:claire@chauldencommunitycentre.org" TargetMode="External"/><Relationship Id="rId21" Type="http://schemas.openxmlformats.org/officeDocument/2006/relationships/hyperlink" Target="mailto:Kodjo.Taylor@dacorum.gov.uk" TargetMode="External"/><Relationship Id="rId34" Type="http://schemas.openxmlformats.org/officeDocument/2006/relationships/hyperlink" Target="mailto:sean.allport@gadebridge.com" TargetMode="External"/><Relationship Id="rId42" Type="http://schemas.openxmlformats.org/officeDocument/2006/relationships/hyperlink" Target="mailto:cemeteries@dacorum.gov.uk" TargetMode="External"/><Relationship Id="rId47" Type="http://schemas.openxmlformats.org/officeDocument/2006/relationships/hyperlink" Target="mailto:cemeteries@dacorum.gov.uk" TargetMode="External"/><Relationship Id="rId50" Type="http://schemas.openxmlformats.org/officeDocument/2006/relationships/printerSettings" Target="../printerSettings/printerSettings1.bin"/><Relationship Id="rId7" Type="http://schemas.openxmlformats.org/officeDocument/2006/relationships/hyperlink" Target="mailto:Lee.Courtney@dacorum.gov.uk" TargetMode="External"/><Relationship Id="rId12" Type="http://schemas.openxmlformats.org/officeDocument/2006/relationships/hyperlink" Target="mailto:warnersend@btconnect.com" TargetMode="External"/><Relationship Id="rId17" Type="http://schemas.openxmlformats.org/officeDocument/2006/relationships/hyperlink" Target="mailto:Kodjo.Taylor@dacorum.gov.uk" TargetMode="External"/><Relationship Id="rId25" Type="http://schemas.openxmlformats.org/officeDocument/2006/relationships/hyperlink" Target="mailto:Kodjo.Taylor@dacorum.gov.uk" TargetMode="External"/><Relationship Id="rId33" Type="http://schemas.openxmlformats.org/officeDocument/2006/relationships/hyperlink" Target="mailto:enquiries@adeyfield.org.uk" TargetMode="External"/><Relationship Id="rId38" Type="http://schemas.openxmlformats.org/officeDocument/2006/relationships/hyperlink" Target="mailto:Lee.Courtney@dacorum.gov.uk" TargetMode="External"/><Relationship Id="rId46" Type="http://schemas.openxmlformats.org/officeDocument/2006/relationships/hyperlink" Target="mailto:cemeteries@dacorum.gov.uk" TargetMode="External"/><Relationship Id="rId2" Type="http://schemas.openxmlformats.org/officeDocument/2006/relationships/hyperlink" Target="mailto:danny.taber@dacorum.gov.uk" TargetMode="External"/><Relationship Id="rId16" Type="http://schemas.openxmlformats.org/officeDocument/2006/relationships/hyperlink" Target="mailto:Kodjo.Taylor@dacorum.gov.uk" TargetMode="External"/><Relationship Id="rId20" Type="http://schemas.openxmlformats.org/officeDocument/2006/relationships/hyperlink" Target="mailto:Kodjo.Taylor@dacorum.gov.uk" TargetMode="External"/><Relationship Id="rId29" Type="http://schemas.openxmlformats.org/officeDocument/2006/relationships/hyperlink" Target="mailto:Anthony.Moore@dacorum.gov.uk" TargetMode="External"/><Relationship Id="rId41" Type="http://schemas.openxmlformats.org/officeDocument/2006/relationships/hyperlink" Target="mailto:ross.field@hertfordshire.gov.uk" TargetMode="External"/><Relationship Id="rId1" Type="http://schemas.openxmlformats.org/officeDocument/2006/relationships/hyperlink" Target="mailto:admin@highfieldcommunitycentre.org" TargetMode="External"/><Relationship Id="rId6" Type="http://schemas.openxmlformats.org/officeDocument/2006/relationships/hyperlink" Target="mailto:tringcc@hotmail.com" TargetMode="External"/><Relationship Id="rId11" Type="http://schemas.openxmlformats.org/officeDocument/2006/relationships/hyperlink" Target="mailto:benacc@btconnect.com" TargetMode="External"/><Relationship Id="rId24" Type="http://schemas.openxmlformats.org/officeDocument/2006/relationships/hyperlink" Target="mailto:Kodjo.Taylor@dacorum.gov.uk" TargetMode="External"/><Relationship Id="rId32" Type="http://schemas.openxmlformats.org/officeDocument/2006/relationships/hyperlink" Target="mailto:sean.allport@gadebridge.com" TargetMode="External"/><Relationship Id="rId37" Type="http://schemas.openxmlformats.org/officeDocument/2006/relationships/hyperlink" Target="mailto:Anthony.Moore@dacorum.gov.uk" TargetMode="External"/><Relationship Id="rId40" Type="http://schemas.openxmlformats.org/officeDocument/2006/relationships/hyperlink" Target="mailto:cemeteries@dacorum.gov.uk" TargetMode="External"/><Relationship Id="rId45" Type="http://schemas.openxmlformats.org/officeDocument/2006/relationships/hyperlink" Target="mailto:cemeteries@dacorum.gov.uk" TargetMode="External"/><Relationship Id="rId5" Type="http://schemas.openxmlformats.org/officeDocument/2006/relationships/hyperlink" Target="mailto:ceo@ageukherts.org.uk" TargetMode="External"/><Relationship Id="rId15" Type="http://schemas.openxmlformats.org/officeDocument/2006/relationships/hyperlink" Target="mailto:Kodjo.Taylor@dacorum.gov.uk" TargetMode="External"/><Relationship Id="rId23" Type="http://schemas.openxmlformats.org/officeDocument/2006/relationships/hyperlink" Target="mailto:Kodjo.Taylor@dacorum.gov.uk" TargetMode="External"/><Relationship Id="rId28" Type="http://schemas.openxmlformats.org/officeDocument/2006/relationships/hyperlink" Target="mailto:Anthony.Moore@dacorum.gov.uk" TargetMode="External"/><Relationship Id="rId36" Type="http://schemas.openxmlformats.org/officeDocument/2006/relationships/hyperlink" Target="mailto:Dan.Rodger@dacorum.gov.uk" TargetMode="External"/><Relationship Id="rId49" Type="http://schemas.openxmlformats.org/officeDocument/2006/relationships/hyperlink" Target="mailto:Nessan.Heduan@dacorum.gov.uk" TargetMode="External"/><Relationship Id="rId10" Type="http://schemas.openxmlformats.org/officeDocument/2006/relationships/hyperlink" Target="mailto:Michelle.Anderson@dacorum.gov.uk" TargetMode="External"/><Relationship Id="rId19" Type="http://schemas.openxmlformats.org/officeDocument/2006/relationships/hyperlink" Target="mailto:Kodjo.Taylor@dacorum.gov.uk" TargetMode="External"/><Relationship Id="rId31" Type="http://schemas.openxmlformats.org/officeDocument/2006/relationships/hyperlink" Target="mailto:Anthony.Moore@dacorum.gov.uk" TargetMode="External"/><Relationship Id="rId44" Type="http://schemas.openxmlformats.org/officeDocument/2006/relationships/hyperlink" Target="mailto:cemeteries@dacorum.gov.uk" TargetMode="External"/><Relationship Id="rId4" Type="http://schemas.openxmlformats.org/officeDocument/2006/relationships/hyperlink" Target="mailto:Robert.Cassidy@dacorum.gov.uk" TargetMode="External"/><Relationship Id="rId9" Type="http://schemas.openxmlformats.org/officeDocument/2006/relationships/hyperlink" Target="mailto:julie.banks@grovehill.org.uk" TargetMode="External"/><Relationship Id="rId14" Type="http://schemas.openxmlformats.org/officeDocument/2006/relationships/hyperlink" Target="mailto:admin@woodhall-farm-community-centre.co.uk" TargetMode="External"/><Relationship Id="rId22" Type="http://schemas.openxmlformats.org/officeDocument/2006/relationships/hyperlink" Target="mailto:Kodjo.Taylor@dacorum.gov.uk" TargetMode="External"/><Relationship Id="rId27" Type="http://schemas.openxmlformats.org/officeDocument/2006/relationships/hyperlink" Target="mailto:Anthony.Moore@dacorum.gov.uk" TargetMode="External"/><Relationship Id="rId30" Type="http://schemas.openxmlformats.org/officeDocument/2006/relationships/hyperlink" Target="mailto:Anthony.Moore@dacorum.gov.uk" TargetMode="External"/><Relationship Id="rId35" Type="http://schemas.openxmlformats.org/officeDocument/2006/relationships/hyperlink" Target="mailto:Anthony.Moore@dacorum.gov.uk" TargetMode="External"/><Relationship Id="rId43" Type="http://schemas.openxmlformats.org/officeDocument/2006/relationships/hyperlink" Target="mailto:cemeteries@dacorum.gov.uk" TargetMode="External"/><Relationship Id="rId48" Type="http://schemas.openxmlformats.org/officeDocument/2006/relationships/hyperlink" Target="mailto:Richard.Tattersall@dacorum.gov.uk" TargetMode="External"/><Relationship Id="rId8" Type="http://schemas.openxmlformats.org/officeDocument/2006/relationships/hyperlink" Target="mailto:lgvaoffice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71"/>
  <sheetViews>
    <sheetView tabSelected="1" zoomScale="70" zoomScaleNormal="70" workbookViewId="0">
      <pane xSplit="2" ySplit="3" topLeftCell="H44" activePane="bottomRight" state="frozen"/>
      <selection pane="topRight" activeCell="C1" sqref="C1"/>
      <selection pane="bottomLeft" activeCell="A4" sqref="A4"/>
      <selection pane="bottomRight" activeCell="H68" sqref="H68"/>
    </sheetView>
  </sheetViews>
  <sheetFormatPr defaultRowHeight="15" x14ac:dyDescent="0.25"/>
  <cols>
    <col min="1" max="1" width="20.7109375" customWidth="1"/>
    <col min="2" max="2" width="15.7109375" customWidth="1"/>
    <col min="3" max="4" width="20.7109375" customWidth="1"/>
    <col min="5" max="5" width="15.7109375" customWidth="1"/>
    <col min="6" max="6" width="65.7109375" customWidth="1"/>
    <col min="7" max="8" width="50.7109375" customWidth="1"/>
    <col min="9" max="9" width="15.7109375" customWidth="1"/>
    <col min="10" max="10" width="15.7109375" style="24" customWidth="1"/>
    <col min="11" max="11" width="20.7109375" style="24" customWidth="1"/>
    <col min="12" max="12" width="45.28515625" customWidth="1"/>
    <col min="13" max="13" width="20.7109375" customWidth="1"/>
    <col min="14" max="14" width="9.7109375" customWidth="1"/>
    <col min="15" max="15" width="21.5703125" customWidth="1"/>
  </cols>
  <sheetData>
    <row r="1" spans="1:15" s="1" customFormat="1" ht="21" x14ac:dyDescent="0.35">
      <c r="A1" s="4" t="s">
        <v>0</v>
      </c>
      <c r="B1" s="4"/>
      <c r="C1" s="4"/>
      <c r="D1" s="4"/>
      <c r="E1" s="4"/>
      <c r="F1" s="6" t="s">
        <v>94</v>
      </c>
      <c r="G1" s="26">
        <v>46092</v>
      </c>
      <c r="H1" s="27"/>
      <c r="I1" s="4"/>
      <c r="J1" s="100"/>
      <c r="K1" s="6"/>
      <c r="L1" s="108"/>
    </row>
    <row r="2" spans="1:15" s="29" customFormat="1" ht="50.1" customHeight="1" x14ac:dyDescent="0.25">
      <c r="A2" s="122" t="s">
        <v>318</v>
      </c>
      <c r="B2" s="122"/>
      <c r="C2" s="28"/>
      <c r="D2" s="28"/>
      <c r="E2" s="28"/>
      <c r="F2" s="102"/>
      <c r="G2" s="28"/>
      <c r="H2" s="28"/>
      <c r="I2" s="28"/>
      <c r="J2" s="93" t="s">
        <v>313</v>
      </c>
      <c r="K2" s="28" t="s">
        <v>126</v>
      </c>
      <c r="L2" s="109" t="s">
        <v>352</v>
      </c>
      <c r="M2" s="29" t="s">
        <v>354</v>
      </c>
      <c r="N2" s="29" t="s">
        <v>356</v>
      </c>
      <c r="O2" s="29" t="s">
        <v>357</v>
      </c>
    </row>
    <row r="3" spans="1:15" s="2" customFormat="1" ht="18.75" x14ac:dyDescent="0.25">
      <c r="A3" s="40" t="s">
        <v>140</v>
      </c>
      <c r="B3" s="40" t="s">
        <v>4</v>
      </c>
      <c r="C3" s="40" t="s">
        <v>5</v>
      </c>
      <c r="D3" s="40" t="s">
        <v>6</v>
      </c>
      <c r="E3" s="40" t="s">
        <v>7</v>
      </c>
      <c r="F3" s="40" t="s">
        <v>259</v>
      </c>
      <c r="G3" s="40" t="s">
        <v>260</v>
      </c>
      <c r="H3" s="40" t="s">
        <v>176</v>
      </c>
      <c r="I3" s="40" t="s">
        <v>164</v>
      </c>
      <c r="J3" s="93" t="s">
        <v>314</v>
      </c>
      <c r="K3" s="20"/>
      <c r="L3" s="110"/>
    </row>
    <row r="4" spans="1:15" s="5" customFormat="1" ht="45.2" customHeight="1" x14ac:dyDescent="0.25">
      <c r="A4" s="3" t="s">
        <v>301</v>
      </c>
      <c r="B4" s="3" t="s">
        <v>301</v>
      </c>
      <c r="C4" s="3" t="s">
        <v>2</v>
      </c>
      <c r="D4" s="3"/>
      <c r="E4" s="3" t="s">
        <v>270</v>
      </c>
      <c r="F4" s="3"/>
      <c r="G4" s="85"/>
      <c r="H4" s="3"/>
      <c r="I4" s="2" t="s">
        <v>182</v>
      </c>
      <c r="J4" s="35"/>
      <c r="K4" s="21">
        <v>45719</v>
      </c>
      <c r="L4" s="111">
        <v>2</v>
      </c>
      <c r="M4" s="113">
        <v>150</v>
      </c>
      <c r="N4" s="5" t="s">
        <v>358</v>
      </c>
      <c r="O4" s="120">
        <v>46087</v>
      </c>
    </row>
    <row r="5" spans="1:15" s="5" customFormat="1" ht="45" x14ac:dyDescent="0.25">
      <c r="A5" s="3" t="s">
        <v>64</v>
      </c>
      <c r="B5" s="3" t="s">
        <v>64</v>
      </c>
      <c r="C5" s="3" t="s">
        <v>29</v>
      </c>
      <c r="D5" s="3" t="s">
        <v>61</v>
      </c>
      <c r="E5" s="3" t="s">
        <v>65</v>
      </c>
      <c r="F5" s="3"/>
      <c r="G5" s="85"/>
      <c r="H5" s="3" t="s">
        <v>308</v>
      </c>
      <c r="I5" s="2" t="s">
        <v>300</v>
      </c>
      <c r="J5" s="3"/>
      <c r="K5" s="107" t="s">
        <v>351</v>
      </c>
      <c r="L5" s="111" t="s">
        <v>351</v>
      </c>
      <c r="M5" s="113">
        <v>550</v>
      </c>
      <c r="O5" s="120"/>
    </row>
    <row r="6" spans="1:15" s="3" customFormat="1" ht="60" x14ac:dyDescent="0.25">
      <c r="A6" s="98" t="s">
        <v>142</v>
      </c>
      <c r="B6" s="3" t="s">
        <v>66</v>
      </c>
      <c r="C6" s="3" t="s">
        <v>2</v>
      </c>
      <c r="D6" s="3" t="s">
        <v>61</v>
      </c>
      <c r="E6" s="3" t="s">
        <v>67</v>
      </c>
      <c r="F6" s="3" t="s">
        <v>324</v>
      </c>
      <c r="G6" s="80" t="s">
        <v>319</v>
      </c>
      <c r="H6" s="3" t="s">
        <v>143</v>
      </c>
      <c r="I6" s="2" t="s">
        <v>300</v>
      </c>
      <c r="J6" s="23"/>
      <c r="K6" s="21">
        <v>45625</v>
      </c>
      <c r="L6" s="112">
        <v>3</v>
      </c>
      <c r="M6" s="114">
        <v>150</v>
      </c>
      <c r="N6" s="3" t="s">
        <v>359</v>
      </c>
      <c r="O6" s="119">
        <v>45625</v>
      </c>
    </row>
    <row r="7" spans="1:15" s="2" customFormat="1" ht="30" x14ac:dyDescent="0.25">
      <c r="A7" s="3" t="s">
        <v>175</v>
      </c>
      <c r="B7" s="3" t="s">
        <v>175</v>
      </c>
      <c r="C7" s="3" t="s">
        <v>2</v>
      </c>
      <c r="D7" s="3"/>
      <c r="E7" s="3" t="s">
        <v>67</v>
      </c>
      <c r="F7" s="103"/>
      <c r="G7" s="81"/>
      <c r="H7" s="3"/>
      <c r="I7" s="2" t="s">
        <v>300</v>
      </c>
      <c r="J7" s="35"/>
      <c r="K7" s="21">
        <v>45791</v>
      </c>
      <c r="L7" s="112">
        <v>3</v>
      </c>
      <c r="M7" s="115">
        <v>150</v>
      </c>
      <c r="O7" s="119"/>
    </row>
    <row r="8" spans="1:15" s="41" customFormat="1" ht="30" x14ac:dyDescent="0.25">
      <c r="A8" s="3" t="s">
        <v>132</v>
      </c>
      <c r="B8" s="3" t="s">
        <v>132</v>
      </c>
      <c r="C8" s="3" t="s">
        <v>2</v>
      </c>
      <c r="D8" s="3"/>
      <c r="E8" s="3" t="s">
        <v>131</v>
      </c>
      <c r="F8" s="3"/>
      <c r="G8" s="85"/>
      <c r="H8" s="3"/>
      <c r="I8" s="2" t="s">
        <v>300</v>
      </c>
      <c r="J8" s="35"/>
      <c r="K8" s="21">
        <v>45794</v>
      </c>
      <c r="L8" s="111">
        <v>6</v>
      </c>
      <c r="M8" s="113">
        <v>200</v>
      </c>
      <c r="O8" s="121"/>
    </row>
    <row r="9" spans="1:15" s="5" customFormat="1" ht="45.2" customHeight="1" x14ac:dyDescent="0.25">
      <c r="A9" s="2" t="s">
        <v>134</v>
      </c>
      <c r="B9" s="2" t="s">
        <v>130</v>
      </c>
      <c r="C9" s="5" t="s">
        <v>2</v>
      </c>
      <c r="D9" s="2"/>
      <c r="E9" s="2" t="s">
        <v>135</v>
      </c>
      <c r="F9" s="2"/>
      <c r="G9" s="83"/>
      <c r="H9" s="2" t="s">
        <v>136</v>
      </c>
      <c r="I9" s="2" t="s">
        <v>300</v>
      </c>
      <c r="J9" s="35"/>
      <c r="K9" s="21">
        <v>43734</v>
      </c>
      <c r="L9" s="111">
        <v>7</v>
      </c>
      <c r="M9" s="113">
        <v>200</v>
      </c>
      <c r="N9" s="2" t="s">
        <v>360</v>
      </c>
      <c r="O9" s="119">
        <v>44354</v>
      </c>
    </row>
    <row r="10" spans="1:15" s="3" customFormat="1" ht="60" x14ac:dyDescent="0.25">
      <c r="A10" s="19" t="s">
        <v>73</v>
      </c>
      <c r="B10" s="2" t="s">
        <v>74</v>
      </c>
      <c r="C10" s="2" t="s">
        <v>2</v>
      </c>
      <c r="D10" s="3" t="s">
        <v>61</v>
      </c>
      <c r="E10" s="2" t="s">
        <v>75</v>
      </c>
      <c r="F10" s="2" t="s">
        <v>292</v>
      </c>
      <c r="G10" s="15" t="s">
        <v>125</v>
      </c>
      <c r="H10" s="3" t="s">
        <v>283</v>
      </c>
      <c r="I10" s="2" t="s">
        <v>300</v>
      </c>
      <c r="J10" s="94">
        <v>35335</v>
      </c>
      <c r="K10" s="21">
        <v>45856</v>
      </c>
      <c r="L10" s="112">
        <v>1</v>
      </c>
      <c r="M10" s="114">
        <v>150</v>
      </c>
      <c r="N10" s="3" t="s">
        <v>361</v>
      </c>
      <c r="O10" s="119">
        <v>45773</v>
      </c>
    </row>
    <row r="11" spans="1:15" s="5" customFormat="1" ht="45" x14ac:dyDescent="0.25">
      <c r="A11" s="9" t="s">
        <v>31</v>
      </c>
      <c r="B11" s="2" t="s">
        <v>32</v>
      </c>
      <c r="C11" s="2" t="s">
        <v>2</v>
      </c>
      <c r="D11" s="3" t="s">
        <v>61</v>
      </c>
      <c r="E11" s="2" t="s">
        <v>33</v>
      </c>
      <c r="F11" s="2" t="s">
        <v>331</v>
      </c>
      <c r="G11" s="86" t="s">
        <v>329</v>
      </c>
      <c r="H11" s="2" t="s">
        <v>330</v>
      </c>
      <c r="I11" s="2" t="s">
        <v>300</v>
      </c>
      <c r="J11" s="35"/>
      <c r="K11" s="21">
        <v>45889</v>
      </c>
      <c r="L11" s="111">
        <v>15</v>
      </c>
      <c r="M11" s="113">
        <v>300</v>
      </c>
      <c r="N11" s="5" t="s">
        <v>362</v>
      </c>
      <c r="O11" s="120">
        <v>45889</v>
      </c>
    </row>
    <row r="12" spans="1:15" s="5" customFormat="1" ht="30" x14ac:dyDescent="0.25">
      <c r="A12" s="30" t="s">
        <v>315</v>
      </c>
      <c r="B12" s="30" t="s">
        <v>127</v>
      </c>
      <c r="C12" s="30" t="s">
        <v>128</v>
      </c>
      <c r="D12" s="30" t="s">
        <v>2</v>
      </c>
      <c r="E12" s="30" t="s">
        <v>129</v>
      </c>
      <c r="F12" s="30"/>
      <c r="G12" s="82"/>
      <c r="H12" s="30" t="s">
        <v>307</v>
      </c>
      <c r="I12" s="31" t="s">
        <v>300</v>
      </c>
      <c r="J12" s="37"/>
      <c r="K12" s="21">
        <v>45854</v>
      </c>
      <c r="L12" s="111">
        <v>4</v>
      </c>
      <c r="M12" s="113">
        <v>150</v>
      </c>
      <c r="N12" s="5" t="s">
        <v>363</v>
      </c>
      <c r="O12" s="120">
        <v>45854</v>
      </c>
    </row>
    <row r="13" spans="1:15" s="2" customFormat="1" ht="45" x14ac:dyDescent="0.25">
      <c r="A13" s="13" t="s">
        <v>165</v>
      </c>
      <c r="B13" s="2" t="s">
        <v>47</v>
      </c>
      <c r="C13" s="2" t="s">
        <v>2</v>
      </c>
      <c r="D13" s="3" t="s">
        <v>61</v>
      </c>
      <c r="E13" s="2" t="s">
        <v>179</v>
      </c>
      <c r="F13" s="2" t="s">
        <v>287</v>
      </c>
      <c r="G13" s="87" t="s">
        <v>288</v>
      </c>
      <c r="H13" s="2" t="s">
        <v>112</v>
      </c>
      <c r="I13" s="2" t="s">
        <v>295</v>
      </c>
      <c r="J13" s="35"/>
      <c r="K13" s="21">
        <v>45776</v>
      </c>
      <c r="L13" s="112">
        <v>2</v>
      </c>
      <c r="M13" s="115">
        <v>150</v>
      </c>
      <c r="N13" s="2" t="s">
        <v>364</v>
      </c>
      <c r="O13" s="119">
        <v>45776</v>
      </c>
    </row>
    <row r="14" spans="1:15" s="3" customFormat="1" ht="45" x14ac:dyDescent="0.25">
      <c r="A14" s="19" t="s">
        <v>76</v>
      </c>
      <c r="B14" s="2" t="s">
        <v>77</v>
      </c>
      <c r="C14" s="2" t="s">
        <v>45</v>
      </c>
      <c r="D14" s="3" t="s">
        <v>61</v>
      </c>
      <c r="E14" s="2" t="s">
        <v>78</v>
      </c>
      <c r="F14" s="2" t="s">
        <v>347</v>
      </c>
      <c r="G14" s="80" t="s">
        <v>346</v>
      </c>
      <c r="H14" s="3" t="s">
        <v>283</v>
      </c>
      <c r="I14" s="2" t="s">
        <v>300</v>
      </c>
      <c r="J14" s="93">
        <v>35336</v>
      </c>
      <c r="K14" s="21">
        <v>45860</v>
      </c>
      <c r="L14" s="112">
        <v>1</v>
      </c>
      <c r="M14" s="114">
        <v>150</v>
      </c>
      <c r="N14" s="3" t="s">
        <v>365</v>
      </c>
      <c r="O14" s="119">
        <v>45856</v>
      </c>
    </row>
    <row r="15" spans="1:15" s="2" customFormat="1" ht="30" x14ac:dyDescent="0.25">
      <c r="A15" s="11" t="s">
        <v>34</v>
      </c>
      <c r="B15" s="2" t="s">
        <v>35</v>
      </c>
      <c r="C15" s="2" t="s">
        <v>36</v>
      </c>
      <c r="D15" s="2" t="s">
        <v>2</v>
      </c>
      <c r="E15" s="2" t="s">
        <v>156</v>
      </c>
      <c r="F15" s="2" t="s">
        <v>178</v>
      </c>
      <c r="G15" s="86" t="s">
        <v>157</v>
      </c>
      <c r="H15" s="2" t="s">
        <v>161</v>
      </c>
      <c r="I15" s="2" t="s">
        <v>300</v>
      </c>
      <c r="J15" s="23"/>
      <c r="K15" s="21">
        <v>45593</v>
      </c>
      <c r="L15" s="112">
        <v>16</v>
      </c>
      <c r="M15" s="115">
        <v>300</v>
      </c>
      <c r="N15" s="2" t="s">
        <v>366</v>
      </c>
      <c r="O15" s="119">
        <v>45623</v>
      </c>
    </row>
    <row r="16" spans="1:15" s="2" customFormat="1" ht="26.25" x14ac:dyDescent="0.25">
      <c r="A16" s="30" t="s">
        <v>23</v>
      </c>
      <c r="B16" s="30" t="s">
        <v>24</v>
      </c>
      <c r="C16" s="30" t="s">
        <v>2</v>
      </c>
      <c r="D16" s="30" t="s">
        <v>61</v>
      </c>
      <c r="E16" s="30" t="s">
        <v>116</v>
      </c>
      <c r="F16" s="30" t="s">
        <v>254</v>
      </c>
      <c r="G16" s="84" t="s">
        <v>255</v>
      </c>
      <c r="H16" s="31" t="s">
        <v>119</v>
      </c>
      <c r="I16" s="32"/>
      <c r="J16" s="38"/>
      <c r="K16" s="21">
        <v>45908</v>
      </c>
      <c r="L16" s="112">
        <v>2</v>
      </c>
      <c r="M16" s="115">
        <v>150</v>
      </c>
      <c r="N16" s="2" t="s">
        <v>367</v>
      </c>
      <c r="O16" s="119">
        <v>45908</v>
      </c>
    </row>
    <row r="17" spans="1:15" s="14" customFormat="1" ht="45" x14ac:dyDescent="0.25">
      <c r="A17" s="13" t="s">
        <v>155</v>
      </c>
      <c r="B17" s="2" t="s">
        <v>24</v>
      </c>
      <c r="C17" s="2" t="s">
        <v>45</v>
      </c>
      <c r="D17" s="3" t="s">
        <v>61</v>
      </c>
      <c r="E17" s="2" t="s">
        <v>180</v>
      </c>
      <c r="F17" s="2" t="s">
        <v>287</v>
      </c>
      <c r="G17" s="87" t="s">
        <v>288</v>
      </c>
      <c r="H17" s="2" t="s">
        <v>112</v>
      </c>
      <c r="I17" s="2" t="s">
        <v>300</v>
      </c>
      <c r="J17" s="35"/>
      <c r="K17" s="21">
        <v>45173</v>
      </c>
      <c r="L17" s="112">
        <v>6</v>
      </c>
      <c r="M17" s="114">
        <v>200</v>
      </c>
      <c r="N17" s="3" t="s">
        <v>368</v>
      </c>
      <c r="O17" s="119">
        <v>45714</v>
      </c>
    </row>
    <row r="18" spans="1:15" s="3" customFormat="1" ht="45" x14ac:dyDescent="0.25">
      <c r="A18" s="3" t="s">
        <v>146</v>
      </c>
      <c r="B18" s="3" t="s">
        <v>145</v>
      </c>
      <c r="C18" s="3" t="s">
        <v>14</v>
      </c>
      <c r="D18" s="3" t="s">
        <v>61</v>
      </c>
      <c r="E18" s="3" t="s">
        <v>15</v>
      </c>
      <c r="F18" s="3" t="s">
        <v>304</v>
      </c>
      <c r="G18" s="80" t="s">
        <v>303</v>
      </c>
      <c r="H18" s="3" t="s">
        <v>154</v>
      </c>
      <c r="I18" s="2" t="s">
        <v>295</v>
      </c>
      <c r="J18" s="23"/>
      <c r="K18" s="22">
        <v>45601</v>
      </c>
      <c r="L18" s="112">
        <v>11</v>
      </c>
      <c r="M18" s="114">
        <v>300</v>
      </c>
      <c r="N18" s="3" t="s">
        <v>369</v>
      </c>
      <c r="O18" s="119">
        <v>45624</v>
      </c>
    </row>
    <row r="19" spans="1:15" s="3" customFormat="1" ht="60" x14ac:dyDescent="0.25">
      <c r="A19" s="3" t="s">
        <v>159</v>
      </c>
      <c r="B19" s="3" t="s">
        <v>68</v>
      </c>
      <c r="C19" s="3" t="s">
        <v>2</v>
      </c>
      <c r="D19" s="3" t="s">
        <v>61</v>
      </c>
      <c r="E19" s="3" t="s">
        <v>69</v>
      </c>
      <c r="F19" s="3" t="s">
        <v>293</v>
      </c>
      <c r="G19" s="97" t="s">
        <v>279</v>
      </c>
      <c r="H19" s="3" t="s">
        <v>108</v>
      </c>
      <c r="I19" s="2" t="s">
        <v>295</v>
      </c>
      <c r="J19" s="23"/>
      <c r="K19" s="21">
        <v>45604</v>
      </c>
      <c r="L19" s="112">
        <v>1</v>
      </c>
      <c r="M19" s="114">
        <v>150</v>
      </c>
      <c r="N19" s="3" t="s">
        <v>370</v>
      </c>
      <c r="O19" s="119">
        <v>45616</v>
      </c>
    </row>
    <row r="20" spans="1:15" s="5" customFormat="1" ht="60" x14ac:dyDescent="0.25">
      <c r="A20" s="19" t="s">
        <v>79</v>
      </c>
      <c r="B20" s="2" t="s">
        <v>80</v>
      </c>
      <c r="C20" s="2" t="s">
        <v>2</v>
      </c>
      <c r="D20" s="2" t="s">
        <v>3</v>
      </c>
      <c r="E20" s="2" t="s">
        <v>81</v>
      </c>
      <c r="F20" s="2" t="s">
        <v>273</v>
      </c>
      <c r="G20" s="80" t="s">
        <v>274</v>
      </c>
      <c r="H20" s="3" t="s">
        <v>283</v>
      </c>
      <c r="I20" s="2" t="s">
        <v>295</v>
      </c>
      <c r="J20" s="93">
        <v>35337</v>
      </c>
      <c r="K20" s="21">
        <v>45631</v>
      </c>
      <c r="L20" s="111">
        <v>1</v>
      </c>
      <c r="M20" s="113">
        <v>150</v>
      </c>
      <c r="N20" s="5" t="s">
        <v>371</v>
      </c>
      <c r="O20" s="120">
        <v>45646</v>
      </c>
    </row>
    <row r="21" spans="1:15" s="5" customFormat="1" ht="30" x14ac:dyDescent="0.25">
      <c r="A21" s="11" t="s">
        <v>37</v>
      </c>
      <c r="B21" s="2" t="s">
        <v>38</v>
      </c>
      <c r="C21" s="2" t="s">
        <v>2</v>
      </c>
      <c r="D21" s="2" t="s">
        <v>3</v>
      </c>
      <c r="E21" s="2" t="s">
        <v>39</v>
      </c>
      <c r="F21" s="2" t="s">
        <v>294</v>
      </c>
      <c r="G21" s="15" t="s">
        <v>158</v>
      </c>
      <c r="I21" s="2" t="s">
        <v>300</v>
      </c>
      <c r="J21" s="23"/>
      <c r="K21" s="21">
        <v>45601</v>
      </c>
      <c r="L21" s="111">
        <v>8</v>
      </c>
      <c r="M21" s="113">
        <v>200</v>
      </c>
      <c r="N21" s="5" t="s">
        <v>372</v>
      </c>
      <c r="O21" s="120">
        <v>45636</v>
      </c>
    </row>
    <row r="22" spans="1:15" s="5" customFormat="1" ht="30" x14ac:dyDescent="0.25">
      <c r="A22" s="13" t="s">
        <v>102</v>
      </c>
      <c r="B22" s="2" t="s">
        <v>133</v>
      </c>
      <c r="C22" s="2" t="s">
        <v>2</v>
      </c>
      <c r="D22" s="3" t="s">
        <v>61</v>
      </c>
      <c r="E22" s="2" t="s">
        <v>39</v>
      </c>
      <c r="F22" s="2" t="s">
        <v>287</v>
      </c>
      <c r="G22" s="87" t="s">
        <v>288</v>
      </c>
      <c r="H22" s="2" t="s">
        <v>112</v>
      </c>
      <c r="I22" s="2" t="s">
        <v>300</v>
      </c>
      <c r="J22" s="35"/>
      <c r="K22" s="21">
        <v>45162</v>
      </c>
      <c r="L22" s="111">
        <v>4</v>
      </c>
      <c r="M22" s="113">
        <v>150</v>
      </c>
      <c r="N22" s="5" t="s">
        <v>373</v>
      </c>
      <c r="O22" s="120">
        <v>45707</v>
      </c>
    </row>
    <row r="23" spans="1:15" s="5" customFormat="1" ht="45" x14ac:dyDescent="0.25">
      <c r="A23" s="7" t="s">
        <v>147</v>
      </c>
      <c r="B23" s="3" t="s">
        <v>272</v>
      </c>
      <c r="C23" s="3" t="s">
        <v>20</v>
      </c>
      <c r="D23" s="3" t="s">
        <v>2</v>
      </c>
      <c r="E23" s="3" t="s">
        <v>21</v>
      </c>
      <c r="F23" s="2" t="s">
        <v>325</v>
      </c>
      <c r="G23" s="81" t="s">
        <v>312</v>
      </c>
      <c r="H23" s="2" t="s">
        <v>342</v>
      </c>
      <c r="I23" s="2" t="s">
        <v>295</v>
      </c>
      <c r="J23" s="94">
        <v>35327</v>
      </c>
      <c r="K23" s="22">
        <v>45603</v>
      </c>
      <c r="L23" s="111">
        <v>7</v>
      </c>
      <c r="M23" s="113">
        <v>200</v>
      </c>
      <c r="N23" s="5" t="s">
        <v>374</v>
      </c>
      <c r="O23" s="120">
        <v>45615</v>
      </c>
    </row>
    <row r="24" spans="1:15" s="5" customFormat="1" ht="45" x14ac:dyDescent="0.25">
      <c r="A24" s="7" t="s">
        <v>147</v>
      </c>
      <c r="B24" s="3" t="s">
        <v>242</v>
      </c>
      <c r="C24" s="3" t="s">
        <v>20</v>
      </c>
      <c r="D24" s="3" t="s">
        <v>2</v>
      </c>
      <c r="E24" s="3" t="s">
        <v>21</v>
      </c>
      <c r="F24" s="2" t="s">
        <v>325</v>
      </c>
      <c r="G24" s="81" t="s">
        <v>312</v>
      </c>
      <c r="H24" s="2" t="s">
        <v>344</v>
      </c>
      <c r="I24" s="2" t="s">
        <v>295</v>
      </c>
      <c r="J24" s="94">
        <v>35332</v>
      </c>
      <c r="K24" s="22">
        <v>45602</v>
      </c>
      <c r="L24" s="111">
        <v>7</v>
      </c>
      <c r="M24" s="113">
        <v>200</v>
      </c>
      <c r="N24" s="5" t="s">
        <v>375</v>
      </c>
      <c r="O24" s="120">
        <v>45616</v>
      </c>
    </row>
    <row r="25" spans="1:15" s="5" customFormat="1" ht="75" customHeight="1" x14ac:dyDescent="0.25">
      <c r="A25" s="11" t="s">
        <v>40</v>
      </c>
      <c r="B25" s="2" t="s">
        <v>88</v>
      </c>
      <c r="C25" s="2" t="s">
        <v>89</v>
      </c>
      <c r="D25" s="2" t="s">
        <v>2</v>
      </c>
      <c r="E25" s="2" t="s">
        <v>117</v>
      </c>
      <c r="F25" s="2" t="s">
        <v>296</v>
      </c>
      <c r="G25" s="101" t="s">
        <v>297</v>
      </c>
      <c r="H25" s="15"/>
      <c r="I25" s="2" t="s">
        <v>300</v>
      </c>
      <c r="J25" s="35"/>
      <c r="K25" s="21">
        <v>45597</v>
      </c>
      <c r="L25" s="111">
        <v>7</v>
      </c>
      <c r="M25" s="113">
        <v>200</v>
      </c>
      <c r="N25" s="5" t="s">
        <v>376</v>
      </c>
      <c r="O25" s="120">
        <v>45623</v>
      </c>
    </row>
    <row r="26" spans="1:15" s="2" customFormat="1" ht="75" customHeight="1" x14ac:dyDescent="0.25">
      <c r="A26" s="11" t="s">
        <v>169</v>
      </c>
      <c r="B26" s="2" t="s">
        <v>120</v>
      </c>
      <c r="C26" s="2" t="s">
        <v>89</v>
      </c>
      <c r="D26" s="2" t="s">
        <v>2</v>
      </c>
      <c r="E26" s="2" t="s">
        <v>93</v>
      </c>
      <c r="F26" s="2" t="s">
        <v>296</v>
      </c>
      <c r="G26" s="101" t="s">
        <v>297</v>
      </c>
      <c r="H26" s="15"/>
      <c r="I26" s="2" t="s">
        <v>300</v>
      </c>
      <c r="J26" s="23"/>
      <c r="K26" s="21">
        <v>45597</v>
      </c>
      <c r="L26" s="112">
        <v>20</v>
      </c>
      <c r="M26" s="115">
        <v>300</v>
      </c>
      <c r="N26" s="2" t="s">
        <v>377</v>
      </c>
      <c r="O26" s="119">
        <v>45615</v>
      </c>
    </row>
    <row r="27" spans="1:15" s="2" customFormat="1" ht="45" x14ac:dyDescent="0.25">
      <c r="A27" s="11" t="s">
        <v>42</v>
      </c>
      <c r="B27" s="2" t="s">
        <v>41</v>
      </c>
      <c r="C27" s="2" t="s">
        <v>43</v>
      </c>
      <c r="D27" s="2" t="s">
        <v>2</v>
      </c>
      <c r="E27" s="2" t="s">
        <v>44</v>
      </c>
      <c r="F27" s="2" t="s">
        <v>280</v>
      </c>
      <c r="G27" s="86" t="s">
        <v>121</v>
      </c>
      <c r="H27" s="2" t="s">
        <v>122</v>
      </c>
      <c r="I27" s="2" t="s">
        <v>295</v>
      </c>
      <c r="J27" s="23"/>
      <c r="K27" s="21">
        <v>45594</v>
      </c>
      <c r="L27" s="112">
        <v>13</v>
      </c>
      <c r="M27" s="115">
        <v>300</v>
      </c>
      <c r="N27" s="2" t="s">
        <v>378</v>
      </c>
      <c r="O27" s="119">
        <v>45606</v>
      </c>
    </row>
    <row r="28" spans="1:15" s="2" customFormat="1" ht="60" x14ac:dyDescent="0.25">
      <c r="A28" s="12" t="s">
        <v>170</v>
      </c>
      <c r="B28" s="2" t="s">
        <v>82</v>
      </c>
      <c r="C28" s="2" t="s">
        <v>2</v>
      </c>
      <c r="D28" s="3" t="s">
        <v>61</v>
      </c>
      <c r="E28" s="2" t="s">
        <v>83</v>
      </c>
      <c r="F28" s="2" t="s">
        <v>327</v>
      </c>
      <c r="G28" s="16" t="s">
        <v>328</v>
      </c>
      <c r="H28" s="2" t="s">
        <v>183</v>
      </c>
      <c r="I28" s="2" t="s">
        <v>295</v>
      </c>
      <c r="J28" s="94">
        <v>35314</v>
      </c>
      <c r="K28" s="21">
        <v>45632</v>
      </c>
      <c r="L28" s="112" t="s">
        <v>355</v>
      </c>
      <c r="M28" s="115">
        <v>0</v>
      </c>
      <c r="N28" s="123" t="s">
        <v>379</v>
      </c>
      <c r="O28" s="124">
        <v>45646</v>
      </c>
    </row>
    <row r="29" spans="1:15" s="2" customFormat="1" ht="60" x14ac:dyDescent="0.25">
      <c r="A29" s="12" t="s">
        <v>171</v>
      </c>
      <c r="B29" s="2" t="s">
        <v>82</v>
      </c>
      <c r="C29" s="2" t="s">
        <v>2</v>
      </c>
      <c r="D29" s="3" t="s">
        <v>61</v>
      </c>
      <c r="E29" s="2" t="s">
        <v>83</v>
      </c>
      <c r="F29" s="2" t="s">
        <v>327</v>
      </c>
      <c r="G29" s="16" t="s">
        <v>328</v>
      </c>
      <c r="H29" s="2" t="s">
        <v>183</v>
      </c>
      <c r="I29" s="2" t="s">
        <v>295</v>
      </c>
      <c r="J29" s="94">
        <v>35315</v>
      </c>
      <c r="K29" s="21">
        <v>45632</v>
      </c>
      <c r="L29" s="112">
        <v>2</v>
      </c>
      <c r="M29" s="115">
        <v>150</v>
      </c>
      <c r="N29" s="123"/>
      <c r="O29" s="124"/>
    </row>
    <row r="30" spans="1:15" s="2" customFormat="1" ht="60" x14ac:dyDescent="0.25">
      <c r="A30" s="104" t="s">
        <v>167</v>
      </c>
      <c r="B30" s="2" t="s">
        <v>82</v>
      </c>
      <c r="C30" s="2" t="s">
        <v>2</v>
      </c>
      <c r="D30" s="3" t="s">
        <v>61</v>
      </c>
      <c r="E30" s="2" t="s">
        <v>83</v>
      </c>
      <c r="F30" s="2" t="s">
        <v>327</v>
      </c>
      <c r="G30" s="16" t="s">
        <v>328</v>
      </c>
      <c r="I30" s="2" t="s">
        <v>295</v>
      </c>
      <c r="J30" s="94">
        <v>35316</v>
      </c>
      <c r="K30" s="21">
        <v>45750</v>
      </c>
      <c r="L30" s="112">
        <v>3</v>
      </c>
      <c r="M30" s="115">
        <v>150</v>
      </c>
      <c r="N30" s="2" t="s">
        <v>380</v>
      </c>
      <c r="O30" s="119">
        <v>45647</v>
      </c>
    </row>
    <row r="31" spans="1:15" s="2" customFormat="1" ht="45" x14ac:dyDescent="0.25">
      <c r="A31" s="43" t="s">
        <v>275</v>
      </c>
      <c r="B31" s="2" t="s">
        <v>139</v>
      </c>
      <c r="C31" s="2" t="s">
        <v>2</v>
      </c>
      <c r="D31" s="3" t="s">
        <v>61</v>
      </c>
      <c r="E31" s="2" t="s">
        <v>72</v>
      </c>
      <c r="F31" s="2" t="s">
        <v>258</v>
      </c>
      <c r="G31" s="34" t="s">
        <v>144</v>
      </c>
      <c r="H31" s="2" t="s">
        <v>284</v>
      </c>
      <c r="I31" s="2" t="s">
        <v>300</v>
      </c>
      <c r="J31" s="94">
        <v>35341</v>
      </c>
      <c r="K31" s="21">
        <v>45775</v>
      </c>
      <c r="L31" s="112">
        <v>4</v>
      </c>
      <c r="M31" s="115">
        <v>150</v>
      </c>
      <c r="N31" s="2" t="s">
        <v>381</v>
      </c>
      <c r="O31" s="119">
        <v>45813</v>
      </c>
    </row>
    <row r="32" spans="1:15" s="2" customFormat="1" ht="30" x14ac:dyDescent="0.25">
      <c r="A32" s="10" t="s">
        <v>25</v>
      </c>
      <c r="B32" s="2" t="s">
        <v>22</v>
      </c>
      <c r="C32" s="2" t="s">
        <v>2</v>
      </c>
      <c r="D32" s="3" t="s">
        <v>61</v>
      </c>
      <c r="E32" s="2" t="s">
        <v>115</v>
      </c>
      <c r="F32" s="3" t="s">
        <v>185</v>
      </c>
      <c r="G32" s="97" t="s">
        <v>289</v>
      </c>
      <c r="H32" s="2" t="s">
        <v>290</v>
      </c>
      <c r="I32" s="2" t="s">
        <v>295</v>
      </c>
      <c r="J32" s="36"/>
      <c r="K32" s="22">
        <v>45162</v>
      </c>
      <c r="L32" s="112">
        <v>5</v>
      </c>
      <c r="M32" s="115">
        <v>150</v>
      </c>
      <c r="N32" s="2" t="s">
        <v>382</v>
      </c>
      <c r="O32" s="119">
        <v>45642</v>
      </c>
    </row>
    <row r="33" spans="1:15" s="2" customFormat="1" ht="45" x14ac:dyDescent="0.25">
      <c r="A33" s="11" t="s">
        <v>46</v>
      </c>
      <c r="B33" s="2" t="s">
        <v>138</v>
      </c>
      <c r="C33" s="2" t="s">
        <v>47</v>
      </c>
      <c r="D33" s="2" t="s">
        <v>2</v>
      </c>
      <c r="E33" s="2" t="s">
        <v>48</v>
      </c>
      <c r="F33" s="2" t="s">
        <v>334</v>
      </c>
      <c r="G33" s="15" t="s">
        <v>177</v>
      </c>
      <c r="H33" s="2" t="s">
        <v>333</v>
      </c>
      <c r="I33" s="2" t="s">
        <v>295</v>
      </c>
      <c r="J33" s="23"/>
      <c r="K33" s="21">
        <v>45792</v>
      </c>
      <c r="L33" s="112">
        <v>5</v>
      </c>
      <c r="M33" s="115">
        <v>150</v>
      </c>
      <c r="N33" s="2" t="s">
        <v>383</v>
      </c>
      <c r="O33" s="119">
        <v>45797</v>
      </c>
    </row>
    <row r="34" spans="1:15" s="2" customFormat="1" ht="30" x14ac:dyDescent="0.25">
      <c r="A34" s="13" t="s">
        <v>95</v>
      </c>
      <c r="B34" s="2" t="s">
        <v>97</v>
      </c>
      <c r="C34" s="2" t="s">
        <v>2</v>
      </c>
      <c r="D34" s="3" t="s">
        <v>61</v>
      </c>
      <c r="E34" s="2" t="s">
        <v>96</v>
      </c>
      <c r="F34" s="2" t="s">
        <v>287</v>
      </c>
      <c r="G34" s="87" t="s">
        <v>288</v>
      </c>
      <c r="H34" s="2" t="s">
        <v>112</v>
      </c>
      <c r="I34" s="2" t="s">
        <v>300</v>
      </c>
      <c r="J34" s="35"/>
      <c r="K34" s="21">
        <v>45685</v>
      </c>
      <c r="L34" s="112">
        <v>3</v>
      </c>
      <c r="M34" s="115">
        <v>150</v>
      </c>
      <c r="N34" s="2" t="s">
        <v>384</v>
      </c>
      <c r="O34" s="119">
        <v>45670</v>
      </c>
    </row>
    <row r="35" spans="1:15" s="2" customFormat="1" ht="60" x14ac:dyDescent="0.25">
      <c r="A35" s="104" t="s">
        <v>172</v>
      </c>
      <c r="B35" s="2" t="s">
        <v>84</v>
      </c>
      <c r="C35" s="2" t="s">
        <v>14</v>
      </c>
      <c r="D35" s="3" t="s">
        <v>61</v>
      </c>
      <c r="E35" s="2" t="s">
        <v>106</v>
      </c>
      <c r="F35" s="2" t="s">
        <v>327</v>
      </c>
      <c r="G35" s="16" t="s">
        <v>328</v>
      </c>
      <c r="I35" s="2" t="s">
        <v>295</v>
      </c>
      <c r="J35" s="94">
        <v>35318</v>
      </c>
      <c r="K35" s="21">
        <v>45750</v>
      </c>
      <c r="L35" s="112">
        <v>20</v>
      </c>
      <c r="M35" s="115">
        <v>300</v>
      </c>
      <c r="O35" s="119"/>
    </row>
    <row r="36" spans="1:15" s="2" customFormat="1" ht="60" x14ac:dyDescent="0.25">
      <c r="A36" s="12" t="s">
        <v>252</v>
      </c>
      <c r="B36" s="2" t="s">
        <v>84</v>
      </c>
      <c r="C36" s="2" t="s">
        <v>14</v>
      </c>
      <c r="D36" s="3" t="s">
        <v>61</v>
      </c>
      <c r="E36" s="2" t="s">
        <v>106</v>
      </c>
      <c r="F36" s="2" t="s">
        <v>327</v>
      </c>
      <c r="G36" s="16" t="s">
        <v>328</v>
      </c>
      <c r="I36" s="2" t="s">
        <v>295</v>
      </c>
      <c r="J36" s="94">
        <v>35319</v>
      </c>
      <c r="K36" s="21">
        <v>45758</v>
      </c>
      <c r="L36" s="112">
        <v>0</v>
      </c>
      <c r="M36" s="115">
        <v>0</v>
      </c>
      <c r="N36" s="2" t="s">
        <v>385</v>
      </c>
      <c r="O36" s="119">
        <v>45757</v>
      </c>
    </row>
    <row r="37" spans="1:15" s="2" customFormat="1" ht="30" x14ac:dyDescent="0.25">
      <c r="A37" s="10" t="s">
        <v>26</v>
      </c>
      <c r="B37" s="2" t="s">
        <v>101</v>
      </c>
      <c r="C37" s="2" t="s">
        <v>2</v>
      </c>
      <c r="D37" s="3" t="s">
        <v>61</v>
      </c>
      <c r="E37" s="2" t="s">
        <v>50</v>
      </c>
      <c r="F37" s="3" t="s">
        <v>185</v>
      </c>
      <c r="G37" s="97" t="s">
        <v>289</v>
      </c>
      <c r="H37" s="2" t="s">
        <v>114</v>
      </c>
      <c r="I37" s="2" t="s">
        <v>295</v>
      </c>
      <c r="J37" s="36"/>
      <c r="K37" s="22">
        <v>45607</v>
      </c>
      <c r="L37" s="112">
        <v>6</v>
      </c>
      <c r="M37" s="115">
        <v>200</v>
      </c>
      <c r="N37" s="2" t="s">
        <v>386</v>
      </c>
      <c r="O37" s="119">
        <v>45625</v>
      </c>
    </row>
    <row r="38" spans="1:15" s="2" customFormat="1" ht="30" x14ac:dyDescent="0.25">
      <c r="A38" s="13" t="s">
        <v>100</v>
      </c>
      <c r="B38" s="2" t="s">
        <v>49</v>
      </c>
      <c r="C38" s="2" t="s">
        <v>101</v>
      </c>
      <c r="D38" s="2" t="s">
        <v>2</v>
      </c>
      <c r="E38" s="2" t="s">
        <v>50</v>
      </c>
      <c r="F38" s="2" t="s">
        <v>287</v>
      </c>
      <c r="G38" s="87" t="s">
        <v>288</v>
      </c>
      <c r="H38" s="2" t="s">
        <v>112</v>
      </c>
      <c r="I38" s="2" t="s">
        <v>295</v>
      </c>
      <c r="J38" s="35"/>
      <c r="K38" s="21">
        <v>45224</v>
      </c>
      <c r="L38" s="112">
        <v>5</v>
      </c>
      <c r="M38" s="115">
        <v>150</v>
      </c>
      <c r="N38" s="2" t="s">
        <v>387</v>
      </c>
      <c r="O38" s="119">
        <v>45707</v>
      </c>
    </row>
    <row r="39" spans="1:15" s="2" customFormat="1" ht="45" x14ac:dyDescent="0.25">
      <c r="A39" s="11" t="s">
        <v>162</v>
      </c>
      <c r="B39" s="2" t="s">
        <v>105</v>
      </c>
      <c r="C39" s="2" t="s">
        <v>2</v>
      </c>
      <c r="D39" s="3" t="s">
        <v>61</v>
      </c>
      <c r="E39" s="2" t="s">
        <v>50</v>
      </c>
      <c r="F39" s="2" t="s">
        <v>350</v>
      </c>
      <c r="G39" s="87" t="s">
        <v>149</v>
      </c>
      <c r="H39" s="39"/>
      <c r="I39" s="2" t="s">
        <v>295</v>
      </c>
      <c r="J39" s="23"/>
      <c r="K39" s="21">
        <v>45772</v>
      </c>
      <c r="L39" s="112">
        <v>11</v>
      </c>
      <c r="M39" s="115">
        <v>300</v>
      </c>
      <c r="N39" s="2" t="s">
        <v>388</v>
      </c>
      <c r="O39" s="119">
        <v>45772</v>
      </c>
    </row>
    <row r="40" spans="1:15" s="2" customFormat="1" ht="60" customHeight="1" x14ac:dyDescent="0.25">
      <c r="A40" s="11" t="s">
        <v>163</v>
      </c>
      <c r="B40" s="2" t="s">
        <v>105</v>
      </c>
      <c r="C40" s="2" t="s">
        <v>2</v>
      </c>
      <c r="D40" s="3" t="s">
        <v>61</v>
      </c>
      <c r="E40" s="2" t="s">
        <v>50</v>
      </c>
      <c r="F40" s="2" t="s">
        <v>326</v>
      </c>
      <c r="G40" s="16" t="s">
        <v>316</v>
      </c>
      <c r="H40" s="44" t="s">
        <v>305</v>
      </c>
      <c r="I40" s="2" t="s">
        <v>295</v>
      </c>
      <c r="J40" s="23"/>
      <c r="K40" s="42">
        <v>45915</v>
      </c>
      <c r="L40" s="112">
        <v>8</v>
      </c>
      <c r="M40" s="115">
        <v>200</v>
      </c>
      <c r="N40" s="2" t="s">
        <v>389</v>
      </c>
      <c r="O40" s="119">
        <v>45916</v>
      </c>
    </row>
    <row r="41" spans="1:15" s="2" customFormat="1" ht="45" x14ac:dyDescent="0.25">
      <c r="A41" s="8" t="s">
        <v>166</v>
      </c>
      <c r="B41" s="3" t="s">
        <v>11</v>
      </c>
      <c r="C41" s="3" t="s">
        <v>2</v>
      </c>
      <c r="D41" s="3" t="s">
        <v>61</v>
      </c>
      <c r="E41" s="3" t="s">
        <v>12</v>
      </c>
      <c r="F41" s="3" t="s">
        <v>185</v>
      </c>
      <c r="G41" s="97" t="s">
        <v>289</v>
      </c>
      <c r="H41" s="5"/>
      <c r="I41" s="2" t="s">
        <v>300</v>
      </c>
      <c r="J41" s="36"/>
      <c r="K41" s="21">
        <v>45632</v>
      </c>
      <c r="L41" s="112">
        <v>3</v>
      </c>
      <c r="M41" s="115">
        <v>150</v>
      </c>
      <c r="N41" s="2" t="s">
        <v>390</v>
      </c>
      <c r="O41" s="119">
        <v>45645</v>
      </c>
    </row>
    <row r="42" spans="1:15" s="2" customFormat="1" ht="45" x14ac:dyDescent="0.25">
      <c r="A42" s="3" t="s">
        <v>8</v>
      </c>
      <c r="B42" s="3" t="s">
        <v>9</v>
      </c>
      <c r="C42" s="3" t="s">
        <v>2</v>
      </c>
      <c r="D42" s="3" t="s">
        <v>61</v>
      </c>
      <c r="E42" s="3" t="s">
        <v>10</v>
      </c>
      <c r="F42" s="3" t="s">
        <v>335</v>
      </c>
      <c r="G42" s="16" t="s">
        <v>345</v>
      </c>
      <c r="H42" s="18"/>
      <c r="I42" s="2" t="s">
        <v>300</v>
      </c>
      <c r="J42" s="94">
        <v>35347</v>
      </c>
      <c r="K42" s="21">
        <v>45198</v>
      </c>
      <c r="L42" s="112">
        <v>8</v>
      </c>
      <c r="M42" s="115">
        <v>200</v>
      </c>
      <c r="N42" s="2" t="s">
        <v>391</v>
      </c>
      <c r="O42" s="119">
        <v>45706</v>
      </c>
    </row>
    <row r="43" spans="1:15" s="2" customFormat="1" ht="30" x14ac:dyDescent="0.25">
      <c r="A43" s="17" t="s">
        <v>160</v>
      </c>
      <c r="B43" s="2" t="s">
        <v>8</v>
      </c>
      <c r="C43" s="2" t="s">
        <v>9</v>
      </c>
      <c r="D43" s="2" t="s">
        <v>2</v>
      </c>
      <c r="E43" s="2" t="s">
        <v>10</v>
      </c>
      <c r="F43" s="3" t="s">
        <v>185</v>
      </c>
      <c r="G43" s="97" t="s">
        <v>289</v>
      </c>
      <c r="I43" s="2" t="s">
        <v>182</v>
      </c>
      <c r="J43" s="35"/>
      <c r="K43" s="21">
        <v>45775</v>
      </c>
      <c r="L43" s="112">
        <v>0</v>
      </c>
      <c r="M43" s="115">
        <v>0</v>
      </c>
      <c r="N43" s="2" t="s">
        <v>392</v>
      </c>
      <c r="O43" s="119">
        <v>45776</v>
      </c>
    </row>
    <row r="44" spans="1:15" s="2" customFormat="1" ht="52.5" x14ac:dyDescent="0.25">
      <c r="A44" s="10" t="s">
        <v>27</v>
      </c>
      <c r="B44" s="2" t="s">
        <v>28</v>
      </c>
      <c r="C44" s="2" t="s">
        <v>29</v>
      </c>
      <c r="D44" s="3" t="s">
        <v>61</v>
      </c>
      <c r="E44" s="3" t="s">
        <v>113</v>
      </c>
      <c r="F44" s="3" t="s">
        <v>185</v>
      </c>
      <c r="G44" s="81" t="s">
        <v>289</v>
      </c>
      <c r="H44" s="2" t="s">
        <v>336</v>
      </c>
      <c r="I44" s="2" t="s">
        <v>300</v>
      </c>
      <c r="J44" s="36"/>
      <c r="K44" s="21">
        <v>45196</v>
      </c>
      <c r="L44" s="112" t="s">
        <v>351</v>
      </c>
      <c r="M44" s="115">
        <v>450</v>
      </c>
      <c r="O44" s="119"/>
    </row>
    <row r="45" spans="1:15" s="2" customFormat="1" ht="90" x14ac:dyDescent="0.25">
      <c r="A45" s="13" t="s">
        <v>92</v>
      </c>
      <c r="B45" s="2" t="s">
        <v>22</v>
      </c>
      <c r="C45" s="2" t="s">
        <v>2</v>
      </c>
      <c r="D45" s="3" t="s">
        <v>61</v>
      </c>
      <c r="E45" s="2" t="s">
        <v>124</v>
      </c>
      <c r="F45" s="2" t="s">
        <v>287</v>
      </c>
      <c r="G45" s="87" t="s">
        <v>288</v>
      </c>
      <c r="H45" s="2" t="s">
        <v>112</v>
      </c>
      <c r="I45" s="2" t="s">
        <v>295</v>
      </c>
      <c r="J45" s="35"/>
      <c r="K45" s="21">
        <v>45142</v>
      </c>
      <c r="L45" s="112">
        <v>6</v>
      </c>
      <c r="M45" s="115">
        <v>200</v>
      </c>
      <c r="N45" s="2" t="s">
        <v>393</v>
      </c>
      <c r="O45" s="119">
        <v>45707</v>
      </c>
    </row>
    <row r="46" spans="1:15" s="2" customFormat="1" ht="45" x14ac:dyDescent="0.25">
      <c r="A46" s="13" t="s">
        <v>148</v>
      </c>
      <c r="B46" s="2" t="s">
        <v>88</v>
      </c>
      <c r="C46" s="2" t="s">
        <v>141</v>
      </c>
      <c r="D46" s="3" t="s">
        <v>61</v>
      </c>
      <c r="E46" s="2" t="s">
        <v>117</v>
      </c>
      <c r="F46" s="2" t="s">
        <v>287</v>
      </c>
      <c r="G46" s="87" t="s">
        <v>288</v>
      </c>
      <c r="H46" s="2" t="s">
        <v>112</v>
      </c>
      <c r="I46" s="2" t="s">
        <v>300</v>
      </c>
      <c r="J46" s="35"/>
      <c r="K46" s="21">
        <v>45855</v>
      </c>
      <c r="L46" s="112">
        <v>2</v>
      </c>
      <c r="M46" s="115">
        <v>150</v>
      </c>
      <c r="N46" s="2" t="s">
        <v>394</v>
      </c>
      <c r="O46" s="119">
        <v>45855</v>
      </c>
    </row>
    <row r="47" spans="1:15" s="2" customFormat="1" ht="30" x14ac:dyDescent="0.25">
      <c r="A47" s="13" t="s">
        <v>137</v>
      </c>
      <c r="B47" s="2" t="s">
        <v>52</v>
      </c>
      <c r="C47" s="2" t="s">
        <v>29</v>
      </c>
      <c r="D47" s="3" t="s">
        <v>61</v>
      </c>
      <c r="E47" s="2" t="s">
        <v>53</v>
      </c>
      <c r="F47" s="2" t="s">
        <v>287</v>
      </c>
      <c r="G47" s="87" t="s">
        <v>288</v>
      </c>
      <c r="I47" s="2" t="s">
        <v>300</v>
      </c>
      <c r="J47" s="35"/>
      <c r="K47" s="21">
        <v>45919</v>
      </c>
      <c r="L47" s="112">
        <v>3</v>
      </c>
      <c r="M47" s="115">
        <v>150</v>
      </c>
      <c r="N47" s="2" t="s">
        <v>395</v>
      </c>
      <c r="O47" s="119">
        <v>45919</v>
      </c>
    </row>
    <row r="48" spans="1:15" s="2" customFormat="1" ht="30" x14ac:dyDescent="0.25">
      <c r="A48" s="13" t="s">
        <v>396</v>
      </c>
      <c r="B48" s="2" t="s">
        <v>80</v>
      </c>
      <c r="C48" s="2" t="s">
        <v>123</v>
      </c>
      <c r="D48" s="2" t="s">
        <v>2</v>
      </c>
      <c r="E48" s="2" t="s">
        <v>118</v>
      </c>
      <c r="F48" s="2" t="s">
        <v>287</v>
      </c>
      <c r="G48" s="87" t="s">
        <v>288</v>
      </c>
      <c r="H48" s="2" t="s">
        <v>112</v>
      </c>
      <c r="I48" s="2" t="s">
        <v>300</v>
      </c>
      <c r="J48" s="35"/>
      <c r="K48" s="21">
        <v>45672</v>
      </c>
      <c r="L48" s="112">
        <v>0</v>
      </c>
      <c r="M48" s="115">
        <v>0</v>
      </c>
      <c r="N48" s="2" t="s">
        <v>397</v>
      </c>
      <c r="O48" s="119">
        <v>45692</v>
      </c>
    </row>
    <row r="49" spans="1:15" s="2" customFormat="1" ht="30" x14ac:dyDescent="0.25">
      <c r="A49" s="3" t="s">
        <v>70</v>
      </c>
      <c r="B49" s="3" t="s">
        <v>71</v>
      </c>
      <c r="C49" s="3" t="s">
        <v>2</v>
      </c>
      <c r="D49" s="3" t="s">
        <v>61</v>
      </c>
      <c r="E49" s="3" t="s">
        <v>72</v>
      </c>
      <c r="F49" s="3" t="s">
        <v>185</v>
      </c>
      <c r="G49" s="81" t="s">
        <v>289</v>
      </c>
      <c r="H49" s="3"/>
      <c r="I49" s="2" t="s">
        <v>300</v>
      </c>
      <c r="J49" s="23"/>
      <c r="K49" s="21">
        <v>44847</v>
      </c>
      <c r="L49" s="112">
        <v>8</v>
      </c>
      <c r="M49" s="115">
        <v>200</v>
      </c>
      <c r="N49" s="2" t="s">
        <v>398</v>
      </c>
      <c r="O49" s="119">
        <v>45707</v>
      </c>
    </row>
    <row r="50" spans="1:15" s="2" customFormat="1" ht="45" x14ac:dyDescent="0.25">
      <c r="A50" s="3" t="s">
        <v>150</v>
      </c>
      <c r="B50" s="3" t="s">
        <v>1</v>
      </c>
      <c r="C50" s="3" t="s">
        <v>2</v>
      </c>
      <c r="D50" s="3" t="s">
        <v>61</v>
      </c>
      <c r="E50" s="3" t="s">
        <v>10</v>
      </c>
      <c r="F50" s="2" t="s">
        <v>321</v>
      </c>
      <c r="G50" s="80" t="s">
        <v>152</v>
      </c>
      <c r="H50" s="5"/>
      <c r="I50" s="2" t="s">
        <v>300</v>
      </c>
      <c r="J50" s="23"/>
      <c r="K50" s="22">
        <v>45600</v>
      </c>
      <c r="L50" s="112">
        <v>7</v>
      </c>
      <c r="M50" s="115">
        <v>200</v>
      </c>
      <c r="N50" s="2" t="s">
        <v>399</v>
      </c>
      <c r="O50" s="119">
        <v>45633</v>
      </c>
    </row>
    <row r="51" spans="1:15" s="2" customFormat="1" ht="60" x14ac:dyDescent="0.25">
      <c r="A51" s="3" t="s">
        <v>151</v>
      </c>
      <c r="B51" s="3" t="s">
        <v>1</v>
      </c>
      <c r="C51" s="3" t="s">
        <v>2</v>
      </c>
      <c r="D51" s="3" t="s">
        <v>61</v>
      </c>
      <c r="E51" s="3" t="s">
        <v>10</v>
      </c>
      <c r="F51" s="25" t="s">
        <v>322</v>
      </c>
      <c r="G51" s="81" t="s">
        <v>323</v>
      </c>
      <c r="H51" s="15"/>
      <c r="I51" s="2" t="s">
        <v>300</v>
      </c>
      <c r="J51" s="23"/>
      <c r="K51" s="22">
        <v>45600</v>
      </c>
      <c r="L51" s="112">
        <v>7</v>
      </c>
      <c r="M51" s="115">
        <v>200</v>
      </c>
      <c r="O51" s="119"/>
    </row>
    <row r="52" spans="1:15" s="5" customFormat="1" ht="45" x14ac:dyDescent="0.25">
      <c r="A52" s="3" t="s">
        <v>63</v>
      </c>
      <c r="B52" s="3" t="s">
        <v>62</v>
      </c>
      <c r="C52" s="3" t="s">
        <v>29</v>
      </c>
      <c r="D52" s="3" t="s">
        <v>61</v>
      </c>
      <c r="E52" s="3" t="s">
        <v>65</v>
      </c>
      <c r="F52" s="3" t="s">
        <v>332</v>
      </c>
      <c r="G52" s="16" t="s">
        <v>268</v>
      </c>
      <c r="H52" s="25" t="s">
        <v>311</v>
      </c>
      <c r="I52" s="2" t="s">
        <v>295</v>
      </c>
      <c r="J52" s="23"/>
      <c r="K52" s="21">
        <v>45901</v>
      </c>
      <c r="L52" s="111">
        <v>41</v>
      </c>
      <c r="M52" s="113">
        <v>500</v>
      </c>
      <c r="N52" s="5" t="s">
        <v>400</v>
      </c>
      <c r="O52" s="120">
        <v>45901</v>
      </c>
    </row>
    <row r="53" spans="1:15" s="5" customFormat="1" ht="30" x14ac:dyDescent="0.25">
      <c r="A53" s="13" t="s">
        <v>86</v>
      </c>
      <c r="B53" s="2" t="s">
        <v>87</v>
      </c>
      <c r="C53" s="2" t="s">
        <v>2</v>
      </c>
      <c r="D53" s="3" t="s">
        <v>61</v>
      </c>
      <c r="E53" s="2" t="s">
        <v>181</v>
      </c>
      <c r="F53" s="2" t="s">
        <v>287</v>
      </c>
      <c r="G53" s="87" t="s">
        <v>288</v>
      </c>
      <c r="H53" s="2" t="s">
        <v>112</v>
      </c>
      <c r="I53" s="2" t="s">
        <v>295</v>
      </c>
      <c r="J53" s="35"/>
      <c r="K53" s="21">
        <v>45722</v>
      </c>
      <c r="L53" s="111">
        <v>1</v>
      </c>
      <c r="M53" s="113">
        <v>150</v>
      </c>
      <c r="N53" s="5" t="s">
        <v>401</v>
      </c>
      <c r="O53" s="120">
        <v>45722</v>
      </c>
    </row>
    <row r="54" spans="1:15" s="5" customFormat="1" ht="45" x14ac:dyDescent="0.25">
      <c r="A54" s="17" t="s">
        <v>277</v>
      </c>
      <c r="B54" s="2" t="s">
        <v>9</v>
      </c>
      <c r="C54" s="2" t="s">
        <v>29</v>
      </c>
      <c r="D54" s="3" t="s">
        <v>61</v>
      </c>
      <c r="E54" s="2" t="s">
        <v>103</v>
      </c>
      <c r="F54" s="3" t="s">
        <v>185</v>
      </c>
      <c r="G54" s="87" t="s">
        <v>289</v>
      </c>
      <c r="H54" s="2"/>
      <c r="I54" s="2" t="s">
        <v>182</v>
      </c>
      <c r="J54" s="35"/>
      <c r="K54" s="21">
        <v>45776</v>
      </c>
      <c r="L54" s="111">
        <v>1</v>
      </c>
      <c r="M54" s="113">
        <v>150</v>
      </c>
      <c r="N54" s="5" t="s">
        <v>402</v>
      </c>
      <c r="O54" s="120">
        <v>45776</v>
      </c>
    </row>
    <row r="55" spans="1:15" s="18" customFormat="1" ht="75" x14ac:dyDescent="0.25">
      <c r="A55" s="3" t="s">
        <v>306</v>
      </c>
      <c r="B55" s="3" t="s">
        <v>186</v>
      </c>
      <c r="C55" s="3" t="s">
        <v>2</v>
      </c>
      <c r="D55" s="3" t="s">
        <v>61</v>
      </c>
      <c r="E55" s="3" t="s">
        <v>13</v>
      </c>
      <c r="F55" s="3" t="s">
        <v>317</v>
      </c>
      <c r="G55" s="80" t="s">
        <v>348</v>
      </c>
      <c r="H55" s="25" t="s">
        <v>349</v>
      </c>
      <c r="I55" s="2" t="s">
        <v>300</v>
      </c>
      <c r="J55" s="23"/>
      <c r="K55" s="22">
        <v>44847</v>
      </c>
      <c r="L55" s="111">
        <v>1</v>
      </c>
      <c r="M55" s="116">
        <v>150</v>
      </c>
      <c r="N55" s="18" t="s">
        <v>403</v>
      </c>
      <c r="O55" s="120">
        <v>45706</v>
      </c>
    </row>
    <row r="56" spans="1:15" s="5" customFormat="1" ht="30" x14ac:dyDescent="0.25">
      <c r="A56" s="13" t="s">
        <v>90</v>
      </c>
      <c r="B56" s="2" t="s">
        <v>104</v>
      </c>
      <c r="C56" s="2" t="s">
        <v>2</v>
      </c>
      <c r="D56" s="3" t="s">
        <v>61</v>
      </c>
      <c r="E56" s="2" t="s">
        <v>91</v>
      </c>
      <c r="F56" s="2" t="s">
        <v>287</v>
      </c>
      <c r="G56" s="87" t="s">
        <v>288</v>
      </c>
      <c r="H56" s="2" t="s">
        <v>112</v>
      </c>
      <c r="I56" s="2" t="s">
        <v>295</v>
      </c>
      <c r="J56" s="35"/>
      <c r="K56" s="21">
        <v>45637</v>
      </c>
      <c r="L56" s="111">
        <v>14</v>
      </c>
      <c r="M56" s="113">
        <v>300</v>
      </c>
      <c r="N56" s="5" t="s">
        <v>404</v>
      </c>
      <c r="O56" s="120">
        <v>45664</v>
      </c>
    </row>
    <row r="57" spans="1:15" s="3" customFormat="1" ht="45" x14ac:dyDescent="0.25">
      <c r="A57" s="11" t="s">
        <v>51</v>
      </c>
      <c r="B57" s="2" t="s">
        <v>52</v>
      </c>
      <c r="C57" s="2" t="s">
        <v>29</v>
      </c>
      <c r="D57" s="3" t="s">
        <v>61</v>
      </c>
      <c r="E57" s="2" t="s">
        <v>53</v>
      </c>
      <c r="F57" s="2" t="s">
        <v>281</v>
      </c>
      <c r="G57" s="88" t="s">
        <v>184</v>
      </c>
      <c r="I57" s="2" t="s">
        <v>300</v>
      </c>
      <c r="J57" s="35"/>
      <c r="K57" s="21">
        <v>45679</v>
      </c>
      <c r="L57" s="112">
        <v>25</v>
      </c>
      <c r="M57" s="114">
        <v>400</v>
      </c>
      <c r="N57" s="3" t="s">
        <v>405</v>
      </c>
      <c r="O57" s="119">
        <v>45694</v>
      </c>
    </row>
    <row r="58" spans="1:15" s="3" customFormat="1" ht="45" x14ac:dyDescent="0.25">
      <c r="A58" s="7" t="s">
        <v>98</v>
      </c>
      <c r="B58" s="3" t="s">
        <v>99</v>
      </c>
      <c r="C58" s="3" t="s">
        <v>29</v>
      </c>
      <c r="D58" s="3" t="s">
        <v>61</v>
      </c>
      <c r="E58" s="3" t="s">
        <v>302</v>
      </c>
      <c r="F58" s="2" t="s">
        <v>325</v>
      </c>
      <c r="G58" s="81" t="s">
        <v>312</v>
      </c>
      <c r="H58" s="106" t="s">
        <v>343</v>
      </c>
      <c r="I58" s="2" t="s">
        <v>295</v>
      </c>
      <c r="J58" s="94">
        <v>35349</v>
      </c>
      <c r="K58" s="21">
        <v>45264</v>
      </c>
      <c r="L58" s="112">
        <v>1</v>
      </c>
      <c r="M58" s="114">
        <v>150</v>
      </c>
      <c r="N58" s="3" t="s">
        <v>406</v>
      </c>
      <c r="O58" s="119">
        <v>45707</v>
      </c>
    </row>
    <row r="59" spans="1:15" s="3" customFormat="1" ht="60" x14ac:dyDescent="0.25">
      <c r="A59" s="3" t="s">
        <v>16</v>
      </c>
      <c r="B59" s="3" t="s">
        <v>17</v>
      </c>
      <c r="C59" s="3" t="s">
        <v>18</v>
      </c>
      <c r="D59" s="3" t="s">
        <v>61</v>
      </c>
      <c r="E59" s="3" t="s">
        <v>19</v>
      </c>
      <c r="F59" s="3" t="s">
        <v>309</v>
      </c>
      <c r="G59" s="80" t="s">
        <v>310</v>
      </c>
      <c r="I59" s="2" t="s">
        <v>300</v>
      </c>
      <c r="J59" s="23"/>
      <c r="K59" s="21">
        <v>45889</v>
      </c>
      <c r="L59" s="112">
        <v>1</v>
      </c>
      <c r="M59" s="114">
        <v>150</v>
      </c>
      <c r="N59" s="3" t="s">
        <v>407</v>
      </c>
      <c r="O59" s="119">
        <v>45889</v>
      </c>
    </row>
    <row r="60" spans="1:15" s="3" customFormat="1" ht="30" x14ac:dyDescent="0.25">
      <c r="A60" s="11" t="s">
        <v>54</v>
      </c>
      <c r="B60" s="2" t="s">
        <v>55</v>
      </c>
      <c r="C60" s="2" t="s">
        <v>123</v>
      </c>
      <c r="D60" s="2" t="s">
        <v>2</v>
      </c>
      <c r="E60" s="2" t="s">
        <v>56</v>
      </c>
      <c r="F60" s="2" t="s">
        <v>291</v>
      </c>
      <c r="G60" s="91" t="s">
        <v>153</v>
      </c>
      <c r="H60" s="5" t="s">
        <v>261</v>
      </c>
      <c r="I60" s="2" t="s">
        <v>300</v>
      </c>
      <c r="J60" s="35"/>
      <c r="K60" s="21">
        <v>45667</v>
      </c>
      <c r="L60" s="112">
        <v>23</v>
      </c>
      <c r="M60" s="114">
        <v>400</v>
      </c>
      <c r="N60" s="3" t="s">
        <v>408</v>
      </c>
      <c r="O60" s="119">
        <v>45679</v>
      </c>
    </row>
    <row r="61" spans="1:15" s="2" customFormat="1" ht="30" x14ac:dyDescent="0.25">
      <c r="A61" s="99" t="s">
        <v>110</v>
      </c>
      <c r="B61" s="18"/>
      <c r="C61" s="3" t="s">
        <v>2</v>
      </c>
      <c r="D61" s="3" t="s">
        <v>61</v>
      </c>
      <c r="E61" s="3" t="s">
        <v>111</v>
      </c>
      <c r="F61" s="2" t="s">
        <v>286</v>
      </c>
      <c r="G61" s="86" t="s">
        <v>285</v>
      </c>
      <c r="H61" s="3"/>
      <c r="I61" s="2" t="s">
        <v>300</v>
      </c>
      <c r="J61" s="95">
        <v>35351</v>
      </c>
      <c r="K61" s="21">
        <v>45840</v>
      </c>
      <c r="L61" s="112">
        <v>1</v>
      </c>
      <c r="M61" s="115">
        <v>150</v>
      </c>
      <c r="N61" s="2" t="s">
        <v>409</v>
      </c>
      <c r="O61" s="119">
        <v>45849</v>
      </c>
    </row>
    <row r="62" spans="1:15" s="2" customFormat="1" ht="30" x14ac:dyDescent="0.25">
      <c r="A62" s="11" t="s">
        <v>57</v>
      </c>
      <c r="B62" s="2" t="s">
        <v>58</v>
      </c>
      <c r="C62" s="2" t="s">
        <v>59</v>
      </c>
      <c r="D62" s="2" t="s">
        <v>2</v>
      </c>
      <c r="E62" s="2" t="s">
        <v>60</v>
      </c>
      <c r="F62" s="2" t="s">
        <v>253</v>
      </c>
      <c r="G62" s="90" t="s">
        <v>282</v>
      </c>
      <c r="H62" s="2" t="s">
        <v>320</v>
      </c>
      <c r="I62" s="2" t="s">
        <v>295</v>
      </c>
      <c r="J62" s="35"/>
      <c r="K62" s="21">
        <v>45615</v>
      </c>
      <c r="L62" s="112">
        <v>2</v>
      </c>
      <c r="M62" s="115">
        <v>150</v>
      </c>
      <c r="N62" s="2" t="s">
        <v>410</v>
      </c>
      <c r="O62" s="119">
        <v>45618</v>
      </c>
    </row>
    <row r="63" spans="1:15" s="2" customFormat="1" ht="60" x14ac:dyDescent="0.25">
      <c r="A63" s="104" t="s">
        <v>173</v>
      </c>
      <c r="B63" s="2" t="s">
        <v>85</v>
      </c>
      <c r="C63" s="2" t="s">
        <v>2</v>
      </c>
      <c r="D63" s="3" t="s">
        <v>61</v>
      </c>
      <c r="E63" s="2" t="s">
        <v>107</v>
      </c>
      <c r="F63" s="2" t="s">
        <v>327</v>
      </c>
      <c r="G63" s="16" t="s">
        <v>328</v>
      </c>
      <c r="H63" s="33"/>
      <c r="I63" s="2" t="s">
        <v>295</v>
      </c>
      <c r="J63" s="94">
        <v>35325</v>
      </c>
      <c r="K63" s="21">
        <v>45756</v>
      </c>
      <c r="L63" s="112">
        <v>9</v>
      </c>
      <c r="M63" s="115">
        <v>200</v>
      </c>
      <c r="N63" s="2" t="s">
        <v>411</v>
      </c>
      <c r="O63" s="119">
        <v>45756</v>
      </c>
    </row>
    <row r="64" spans="1:15" s="2" customFormat="1" ht="60" customHeight="1" x14ac:dyDescent="0.25">
      <c r="A64" s="12" t="s">
        <v>174</v>
      </c>
      <c r="B64" s="2" t="s">
        <v>85</v>
      </c>
      <c r="C64" s="2" t="s">
        <v>2</v>
      </c>
      <c r="D64" s="3" t="s">
        <v>61</v>
      </c>
      <c r="E64" s="2" t="s">
        <v>107</v>
      </c>
      <c r="F64" s="2" t="s">
        <v>327</v>
      </c>
      <c r="G64" s="16" t="s">
        <v>328</v>
      </c>
      <c r="H64" s="33"/>
      <c r="I64" s="2" t="s">
        <v>295</v>
      </c>
      <c r="J64" s="94">
        <v>35326</v>
      </c>
      <c r="K64" s="21">
        <v>45757</v>
      </c>
      <c r="L64" s="112">
        <v>1</v>
      </c>
      <c r="M64" s="115">
        <v>150</v>
      </c>
      <c r="N64" s="2" t="s">
        <v>412</v>
      </c>
      <c r="O64" s="119">
        <v>45757</v>
      </c>
    </row>
    <row r="65" spans="1:15" s="5" customFormat="1" ht="45" x14ac:dyDescent="0.25">
      <c r="A65" s="105" t="s">
        <v>168</v>
      </c>
      <c r="B65" s="3" t="s">
        <v>276</v>
      </c>
      <c r="C65" s="3" t="s">
        <v>20</v>
      </c>
      <c r="D65" s="3" t="s">
        <v>2</v>
      </c>
      <c r="E65" s="3" t="s">
        <v>21</v>
      </c>
      <c r="F65" s="3" t="s">
        <v>185</v>
      </c>
      <c r="G65" s="90" t="s">
        <v>289</v>
      </c>
      <c r="H65" s="16"/>
      <c r="I65" s="2" t="s">
        <v>295</v>
      </c>
      <c r="J65" s="23"/>
      <c r="K65" s="21">
        <v>46000</v>
      </c>
      <c r="L65" s="111">
        <v>9</v>
      </c>
      <c r="M65" s="113">
        <v>200</v>
      </c>
      <c r="N65" s="5" t="s">
        <v>413</v>
      </c>
      <c r="O65" s="120"/>
    </row>
    <row r="66" spans="1:15" ht="15.75" x14ac:dyDescent="0.25">
      <c r="K66" s="21"/>
      <c r="M66" s="117"/>
    </row>
    <row r="67" spans="1:15" ht="15.75" x14ac:dyDescent="0.25">
      <c r="K67" s="21"/>
      <c r="M67" s="117"/>
    </row>
    <row r="68" spans="1:15" ht="15.75" x14ac:dyDescent="0.25">
      <c r="K68" s="21"/>
      <c r="M68" s="117"/>
    </row>
    <row r="69" spans="1:15" ht="15.75" x14ac:dyDescent="0.25">
      <c r="K69" s="21" t="s">
        <v>353</v>
      </c>
      <c r="M69" s="118">
        <f>SUM(M4:M68)</f>
        <v>12250</v>
      </c>
    </row>
    <row r="70" spans="1:15" x14ac:dyDescent="0.25">
      <c r="K70" s="21"/>
    </row>
    <row r="71" spans="1:15" x14ac:dyDescent="0.25">
      <c r="K71" s="21"/>
    </row>
  </sheetData>
  <autoFilter ref="A3:K65" xr:uid="{00000000-0001-0000-0000-000000000000}"/>
  <mergeCells count="3">
    <mergeCell ref="A2:B2"/>
    <mergeCell ref="N28:N29"/>
    <mergeCell ref="O28:O29"/>
  </mergeCells>
  <phoneticPr fontId="19" type="noConversion"/>
  <conditionalFormatting sqref="K4:K64">
    <cfRule type="containsText" dxfId="7" priority="7" operator="containsText" text="Void">
      <formula>NOT(ISERROR(SEARCH("Void",K4)))</formula>
    </cfRule>
    <cfRule type="containsText" dxfId="6" priority="11" operator="containsText" text="Decom">
      <formula>NOT(ISERROR(SEARCH("Decom",K4)))</formula>
    </cfRule>
    <cfRule type="containsText" dxfId="5" priority="13" operator="containsText" text="Lease">
      <formula>NOT(ISERROR(SEARCH("Lease",K4)))</formula>
    </cfRule>
    <cfRule type="containsText" dxfId="4" priority="229" operator="containsText" text="Re-inspection not required">
      <formula>NOT(ISERROR(SEARCH("Re-inspection not required",K4)))</formula>
    </cfRule>
    <cfRule type="containsText" dxfId="3" priority="364" operator="containsText" text="No Asbestos Detected">
      <formula>NOT(ISERROR(SEARCH("No Asbestos Detected",K4)))</formula>
    </cfRule>
    <cfRule type="containsText" dxfId="2" priority="370" operator="containsText" text="Built">
      <formula>NOT(ISERROR(SEARCH("Built",K4)))</formula>
    </cfRule>
    <cfRule type="containsText" dxfId="1" priority="371" operator="containsText" text="No data">
      <formula>NOT(ISERROR(SEARCH("No data",K4)))</formula>
    </cfRule>
    <cfRule type="cellIs" dxfId="0" priority="379" stopIfTrue="1" operator="between">
      <formula>30500</formula>
      <formula>60000</formula>
    </cfRule>
  </conditionalFormatting>
  <hyperlinks>
    <hyperlink ref="G33" r:id="rId1" xr:uid="{00000000-0004-0000-0000-000000000000}"/>
    <hyperlink ref="G10" r:id="rId2" xr:uid="{00000000-0004-0000-0000-000002000000}"/>
    <hyperlink ref="G21" r:id="rId3" xr:uid="{00000000-0004-0000-0000-000003000000}"/>
    <hyperlink ref="G31" r:id="rId4" xr:uid="{00000000-0004-0000-0000-000005000000}"/>
    <hyperlink ref="G51" r:id="rId5" display="ceo@ageukherts.org.uk" xr:uid="{00000000-0004-0000-0000-000006000000}"/>
    <hyperlink ref="G57" r:id="rId6" xr:uid="{00000000-0004-0000-0000-000008000000}"/>
    <hyperlink ref="G23" r:id="rId7" xr:uid="{00000000-0004-0000-0000-00000A000000}"/>
    <hyperlink ref="G39" r:id="rId8" xr:uid="{00000000-0004-0000-0000-00000C000000}"/>
    <hyperlink ref="G27" r:id="rId9" xr:uid="{00000000-0004-0000-0000-000010000000}"/>
    <hyperlink ref="G16" r:id="rId10" xr:uid="{00000000-0004-0000-0000-000014000000}"/>
    <hyperlink ref="G15" r:id="rId11" xr:uid="{00000000-0004-0000-0000-000015000000}"/>
    <hyperlink ref="G60" r:id="rId12" xr:uid="{00000000-0004-0000-0000-00001B000000}"/>
    <hyperlink ref="G19" r:id="rId13" xr:uid="{00000000-0004-0000-0000-000022000000}"/>
    <hyperlink ref="G62" r:id="rId14" xr:uid="{00000000-0004-0000-0000-000024000000}"/>
    <hyperlink ref="G13" r:id="rId15" xr:uid="{00000000-0004-0000-0000-00002E000000}"/>
    <hyperlink ref="G17" r:id="rId16" xr:uid="{00000000-0004-0000-0000-00002F000000}"/>
    <hyperlink ref="G22" r:id="rId17" xr:uid="{00000000-0004-0000-0000-000030000000}"/>
    <hyperlink ref="G34" r:id="rId18" xr:uid="{00000000-0004-0000-0000-000032000000}"/>
    <hyperlink ref="G38" r:id="rId19" xr:uid="{00000000-0004-0000-0000-000033000000}"/>
    <hyperlink ref="G45" r:id="rId20" xr:uid="{00000000-0004-0000-0000-000034000000}"/>
    <hyperlink ref="G46" r:id="rId21" xr:uid="{00000000-0004-0000-0000-000035000000}"/>
    <hyperlink ref="G47" r:id="rId22" xr:uid="{00000000-0004-0000-0000-000036000000}"/>
    <hyperlink ref="G48" r:id="rId23" xr:uid="{00000000-0004-0000-0000-000037000000}"/>
    <hyperlink ref="G53" r:id="rId24" xr:uid="{00000000-0004-0000-0000-000038000000}"/>
    <hyperlink ref="G56" r:id="rId25" xr:uid="{00000000-0004-0000-0000-000039000000}"/>
    <hyperlink ref="G49" r:id="rId26" xr:uid="{CC0834DC-8E92-44B8-A0EE-AA3833C0AF7B}"/>
    <hyperlink ref="G41" r:id="rId27" xr:uid="{D47D1E01-1304-445C-BF0A-4CCE065FB533}"/>
    <hyperlink ref="G54" r:id="rId28" xr:uid="{F7536EED-D446-40A4-941D-5A88F3D71870}"/>
    <hyperlink ref="G44" r:id="rId29" xr:uid="{E96F8C43-DB8F-463F-9A78-354631CED0BD}"/>
    <hyperlink ref="G37" r:id="rId30" xr:uid="{C26C25A1-0A1E-4DE0-A578-7FEEBF5C33EA}"/>
    <hyperlink ref="G32" r:id="rId31" xr:uid="{2ED912B6-EA9A-4208-8043-B0571319AE5F}"/>
    <hyperlink ref="G25" r:id="rId32" xr:uid="{5830B34C-EF30-47EF-A5C6-290339AC45BE}"/>
    <hyperlink ref="G11" r:id="rId33" xr:uid="{D6DCE04D-E1DD-41DF-A386-8EBFC12C0493}"/>
    <hyperlink ref="G26" r:id="rId34" xr:uid="{3A090949-9A88-416E-8252-1F1987F16CC9}"/>
    <hyperlink ref="G43" r:id="rId35" xr:uid="{D5520517-DDB9-4102-A73E-3D9E2A416A42}"/>
    <hyperlink ref="G61" r:id="rId36" xr:uid="{53F3A43B-A4AA-4035-A624-46ED90D962DC}"/>
    <hyperlink ref="G65" r:id="rId37" xr:uid="{6FF7B1CA-F7D6-48F7-A39F-00B09159F206}"/>
    <hyperlink ref="G24" r:id="rId38" xr:uid="{ED47B7A3-C595-4116-A8FE-01606718C744}"/>
    <hyperlink ref="G58" r:id="rId39" xr:uid="{839D5573-A0DA-43C8-87F1-F66C9231D0D7}"/>
    <hyperlink ref="G30" r:id="rId40" display="cemeteries@dacorum.gov.uk" xr:uid="{7839A6F4-5A02-4F4B-BA11-8337C9E8366D}"/>
    <hyperlink ref="G40" r:id="rId41" xr:uid="{69D0568F-C84B-4765-926A-5227F8E28D7C}"/>
    <hyperlink ref="G35" r:id="rId42" display="cemeteries@dacorum.gov.uk" xr:uid="{A0775F2A-5203-4EBC-B193-D721F5D8EE4D}"/>
    <hyperlink ref="G63" r:id="rId43" display="cemeteries@dacorum.gov.uk" xr:uid="{5AD6CA6D-2577-463F-ACA8-7F2751907432}"/>
    <hyperlink ref="G36" r:id="rId44" display="cemeteries@dacorum.gov.uk" xr:uid="{5EAB1CFA-83A0-4AE4-BA4D-45B83F1A6DD9}"/>
    <hyperlink ref="G64" r:id="rId45" display="cemeteries@dacorum.gov.uk" xr:uid="{6121E61A-3C7E-4DF3-8B70-74E9216652CC}"/>
    <hyperlink ref="G28" r:id="rId46" display="cemeteries@dacorum.gov.uk" xr:uid="{A6921828-AB4D-422C-BA7C-D672EAAA3B8B}"/>
    <hyperlink ref="G29" r:id="rId47" display="cemeteries@dacorum.gov.uk" xr:uid="{2204FCB8-EA14-4B3B-90B2-FD5124C2490A}"/>
    <hyperlink ref="G52" r:id="rId48" xr:uid="{1F1DB084-93B7-4B96-B7EC-8A80008D5BCA}"/>
    <hyperlink ref="G42" r:id="rId49" display="Nessan.Heduan@dacorum.gov.uk_x000a_" xr:uid="{DB14D700-530C-45DF-BF43-FC769870D273}"/>
  </hyperlinks>
  <pageMargins left="0.7" right="0.7" top="0.75" bottom="0.75" header="0.3" footer="0.3"/>
  <pageSetup paperSize="8" scale="61" fitToHeight="0" orientation="landscape" r:id="rId5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C48"/>
  <sheetViews>
    <sheetView zoomScaleNormal="100" zoomScaleSheetLayoutView="70" workbookViewId="0">
      <pane ySplit="3" topLeftCell="A5" activePane="bottomLeft" state="frozen"/>
      <selection activeCell="L9" sqref="L9"/>
      <selection pane="bottomLeft" activeCell="C17" sqref="C17"/>
    </sheetView>
  </sheetViews>
  <sheetFormatPr defaultColWidth="9.140625" defaultRowHeight="12.75" x14ac:dyDescent="0.2"/>
  <cols>
    <col min="1" max="1" width="50.7109375" style="49" customWidth="1"/>
    <col min="2" max="2" width="45.7109375" style="64" customWidth="1"/>
    <col min="3" max="3" width="80.7109375" style="68" customWidth="1"/>
    <col min="4" max="4" width="30.7109375" style="59" customWidth="1"/>
    <col min="5" max="6" width="20.7109375" style="64" customWidth="1"/>
    <col min="7" max="7" width="20.7109375" style="49" customWidth="1"/>
    <col min="8" max="16384" width="9.140625" style="49"/>
  </cols>
  <sheetData>
    <row r="1" spans="1:81" s="50" customFormat="1" ht="20.25" x14ac:dyDescent="0.2">
      <c r="A1" s="45" t="s">
        <v>262</v>
      </c>
      <c r="B1" s="46"/>
      <c r="C1" s="46" t="s">
        <v>94</v>
      </c>
      <c r="D1" s="47"/>
      <c r="E1" s="48"/>
      <c r="F1" s="48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</row>
    <row r="2" spans="1:81" s="54" customFormat="1" ht="25.5" customHeight="1" x14ac:dyDescent="0.2">
      <c r="A2" s="51"/>
      <c r="B2" s="51"/>
      <c r="C2" s="52">
        <v>46009</v>
      </c>
      <c r="D2" s="53"/>
      <c r="E2" s="48"/>
      <c r="F2" s="48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</row>
    <row r="3" spans="1:81" s="50" customFormat="1" ht="25.5" customHeight="1" x14ac:dyDescent="0.2">
      <c r="A3" s="55" t="s">
        <v>187</v>
      </c>
      <c r="B3" s="55" t="s">
        <v>188</v>
      </c>
      <c r="C3" s="56" t="s">
        <v>176</v>
      </c>
      <c r="D3" s="47"/>
      <c r="E3" s="47"/>
      <c r="F3" s="47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</row>
    <row r="4" spans="1:81" s="59" customFormat="1" ht="25.5" customHeight="1" x14ac:dyDescent="0.25">
      <c r="A4" s="57" t="s">
        <v>189</v>
      </c>
      <c r="B4" s="57" t="s">
        <v>190</v>
      </c>
      <c r="C4" s="60"/>
      <c r="D4" s="47"/>
      <c r="E4" s="47"/>
      <c r="F4" s="47"/>
    </row>
    <row r="5" spans="1:81" s="59" customFormat="1" ht="38.25" customHeight="1" x14ac:dyDescent="0.25">
      <c r="A5" s="75" t="s">
        <v>191</v>
      </c>
      <c r="B5" s="57">
        <v>1442</v>
      </c>
      <c r="C5" s="60" t="s">
        <v>192</v>
      </c>
      <c r="D5" s="47"/>
      <c r="E5" s="47"/>
      <c r="F5" s="47"/>
    </row>
    <row r="6" spans="1:81" s="59" customFormat="1" ht="25.5" customHeight="1" x14ac:dyDescent="0.25">
      <c r="A6" s="75" t="s">
        <v>271</v>
      </c>
      <c r="B6" s="57">
        <v>4178</v>
      </c>
      <c r="C6" s="60"/>
      <c r="D6" s="47"/>
      <c r="E6" s="47"/>
      <c r="F6" s="47"/>
    </row>
    <row r="7" spans="1:81" s="59" customFormat="1" ht="25.5" customHeight="1" x14ac:dyDescent="0.25">
      <c r="A7" s="57" t="s">
        <v>193</v>
      </c>
      <c r="B7" s="57" t="s">
        <v>194</v>
      </c>
      <c r="C7" s="60"/>
      <c r="D7" s="47"/>
      <c r="E7" s="47"/>
      <c r="F7" s="47"/>
    </row>
    <row r="8" spans="1:81" s="59" customFormat="1" ht="25.5" customHeight="1" x14ac:dyDescent="0.25">
      <c r="A8" s="57" t="s">
        <v>195</v>
      </c>
      <c r="B8" s="57" t="s">
        <v>196</v>
      </c>
      <c r="C8" s="60"/>
      <c r="D8" s="47"/>
      <c r="E8" s="47"/>
      <c r="F8" s="47"/>
    </row>
    <row r="9" spans="1:81" s="59" customFormat="1" ht="25.5" customHeight="1" x14ac:dyDescent="0.25">
      <c r="A9" s="57" t="s">
        <v>197</v>
      </c>
      <c r="B9" s="57" t="s">
        <v>198</v>
      </c>
      <c r="C9" s="60" t="s">
        <v>199</v>
      </c>
      <c r="D9" s="47"/>
      <c r="E9" s="47"/>
      <c r="F9" s="47"/>
    </row>
    <row r="10" spans="1:81" s="59" customFormat="1" ht="38.25" customHeight="1" x14ac:dyDescent="0.25">
      <c r="A10" s="57" t="s">
        <v>200</v>
      </c>
      <c r="B10" s="57">
        <v>5122</v>
      </c>
      <c r="C10" s="60" t="s">
        <v>214</v>
      </c>
      <c r="D10" s="47"/>
      <c r="E10" s="47"/>
      <c r="F10" s="47"/>
    </row>
    <row r="11" spans="1:81" s="59" customFormat="1" ht="38.25" customHeight="1" x14ac:dyDescent="0.25">
      <c r="A11" s="75" t="s">
        <v>263</v>
      </c>
      <c r="B11" s="57">
        <v>1961</v>
      </c>
      <c r="C11" s="89" t="s">
        <v>264</v>
      </c>
      <c r="D11" s="47"/>
      <c r="E11" s="47"/>
      <c r="F11" s="47"/>
    </row>
    <row r="12" spans="1:81" s="59" customFormat="1" ht="25.5" customHeight="1" x14ac:dyDescent="0.25">
      <c r="A12" s="62" t="s">
        <v>109</v>
      </c>
      <c r="B12" s="57">
        <v>1908</v>
      </c>
      <c r="C12" s="74" t="s">
        <v>244</v>
      </c>
      <c r="D12" s="47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63"/>
      <c r="CA12" s="63"/>
      <c r="CB12" s="63"/>
      <c r="CC12" s="63"/>
    </row>
    <row r="13" spans="1:81" s="59" customFormat="1" ht="25.5" customHeight="1" x14ac:dyDescent="0.25">
      <c r="A13" s="77" t="s">
        <v>247</v>
      </c>
      <c r="B13" s="57">
        <v>1972</v>
      </c>
      <c r="C13" s="74" t="s">
        <v>248</v>
      </c>
      <c r="D13" s="47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  <c r="BU13" s="63"/>
      <c r="BV13" s="63"/>
      <c r="BW13" s="63"/>
      <c r="BX13" s="63"/>
      <c r="BY13" s="63"/>
      <c r="BZ13" s="63"/>
      <c r="CA13" s="63"/>
      <c r="CB13" s="63"/>
      <c r="CC13" s="63"/>
    </row>
    <row r="14" spans="1:81" ht="25.5" customHeight="1" x14ac:dyDescent="0.2">
      <c r="A14" s="75" t="s">
        <v>245</v>
      </c>
      <c r="B14" s="75">
        <v>1598</v>
      </c>
      <c r="C14" s="76" t="s">
        <v>246</v>
      </c>
      <c r="D14" s="47"/>
      <c r="E14" s="47"/>
      <c r="F14" s="47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BM14" s="59"/>
      <c r="BN14" s="59"/>
      <c r="BO14" s="59"/>
      <c r="BP14" s="59"/>
      <c r="BQ14" s="59"/>
      <c r="BR14" s="59"/>
      <c r="BS14" s="59"/>
      <c r="BT14" s="59"/>
      <c r="BU14" s="59"/>
      <c r="BV14" s="59"/>
      <c r="BW14" s="59"/>
      <c r="BX14" s="59"/>
      <c r="BY14" s="59"/>
      <c r="BZ14" s="59"/>
      <c r="CA14" s="59"/>
      <c r="CB14" s="59"/>
      <c r="CC14" s="59"/>
    </row>
    <row r="15" spans="1:81" ht="25.5" customHeight="1" x14ac:dyDescent="0.2">
      <c r="A15" s="57" t="s">
        <v>25</v>
      </c>
      <c r="B15" s="75" t="s">
        <v>338</v>
      </c>
      <c r="C15" s="76" t="s">
        <v>337</v>
      </c>
      <c r="D15" s="47"/>
      <c r="E15" s="47"/>
      <c r="F15" s="47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59"/>
      <c r="BF15" s="59"/>
      <c r="BG15" s="59"/>
      <c r="BH15" s="59"/>
      <c r="BI15" s="59"/>
      <c r="BJ15" s="59"/>
      <c r="BK15" s="59"/>
      <c r="BL15" s="59"/>
      <c r="BM15" s="59"/>
      <c r="BN15" s="59"/>
      <c r="BO15" s="59"/>
      <c r="BP15" s="59"/>
      <c r="BQ15" s="59"/>
      <c r="BR15" s="59"/>
      <c r="BS15" s="59"/>
      <c r="BT15" s="59"/>
      <c r="BU15" s="59"/>
      <c r="BV15" s="59"/>
      <c r="BW15" s="59"/>
      <c r="BX15" s="59"/>
      <c r="BY15" s="59"/>
      <c r="BZ15" s="59"/>
      <c r="CA15" s="59"/>
      <c r="CB15" s="59"/>
      <c r="CC15" s="59"/>
    </row>
    <row r="16" spans="1:81" ht="25.5" customHeight="1" x14ac:dyDescent="0.2">
      <c r="A16" s="57" t="s">
        <v>25</v>
      </c>
      <c r="B16" s="75" t="s">
        <v>340</v>
      </c>
      <c r="C16" s="76" t="s">
        <v>339</v>
      </c>
      <c r="D16" s="47"/>
      <c r="E16" s="47"/>
      <c r="F16" s="47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59"/>
      <c r="BF16" s="59"/>
      <c r="BG16" s="59"/>
      <c r="BH16" s="59"/>
      <c r="BI16" s="59"/>
      <c r="BJ16" s="59"/>
      <c r="BK16" s="59"/>
      <c r="BL16" s="59"/>
      <c r="BM16" s="59"/>
      <c r="BN16" s="59"/>
      <c r="BO16" s="59"/>
      <c r="BP16" s="59"/>
      <c r="BQ16" s="59"/>
      <c r="BR16" s="59"/>
      <c r="BS16" s="59"/>
      <c r="BT16" s="59"/>
      <c r="BU16" s="59"/>
      <c r="BV16" s="59"/>
      <c r="BW16" s="59"/>
      <c r="BX16" s="59"/>
      <c r="BY16" s="59"/>
      <c r="BZ16" s="59"/>
      <c r="CA16" s="59"/>
      <c r="CB16" s="59"/>
      <c r="CC16" s="59"/>
    </row>
    <row r="17" spans="1:81" ht="25.5" customHeight="1" x14ac:dyDescent="0.2">
      <c r="A17" s="57" t="s">
        <v>25</v>
      </c>
      <c r="B17" s="75" t="s">
        <v>341</v>
      </c>
      <c r="C17" s="65"/>
      <c r="D17" s="47"/>
      <c r="E17" s="47"/>
      <c r="F17" s="47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9"/>
      <c r="BV17" s="59"/>
      <c r="BW17" s="59"/>
      <c r="BX17" s="59"/>
      <c r="BY17" s="59"/>
      <c r="BZ17" s="59"/>
      <c r="CA17" s="59"/>
      <c r="CB17" s="59"/>
      <c r="CC17" s="59"/>
    </row>
    <row r="18" spans="1:81" s="59" customFormat="1" ht="25.5" customHeight="1" x14ac:dyDescent="0.25">
      <c r="A18" s="57" t="s">
        <v>202</v>
      </c>
      <c r="B18" s="57">
        <v>1972</v>
      </c>
      <c r="C18" s="58" t="s">
        <v>203</v>
      </c>
      <c r="D18" s="47"/>
      <c r="E18" s="47"/>
      <c r="F18" s="47"/>
    </row>
    <row r="19" spans="1:81" s="59" customFormat="1" ht="25.5" customHeight="1" x14ac:dyDescent="0.25">
      <c r="A19" s="75" t="s">
        <v>298</v>
      </c>
      <c r="B19" s="75" t="s">
        <v>299</v>
      </c>
      <c r="C19" s="58"/>
      <c r="D19" s="47"/>
      <c r="E19" s="47"/>
      <c r="F19" s="47"/>
    </row>
    <row r="20" spans="1:81" ht="25.5" customHeight="1" x14ac:dyDescent="0.2">
      <c r="A20" s="57" t="s">
        <v>215</v>
      </c>
      <c r="B20" s="57">
        <v>2358</v>
      </c>
      <c r="C20" s="65" t="s">
        <v>204</v>
      </c>
      <c r="D20" s="47"/>
      <c r="E20" s="47"/>
      <c r="F20" s="47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BN20" s="59"/>
      <c r="BO20" s="59"/>
      <c r="BP20" s="59"/>
      <c r="BQ20" s="59"/>
      <c r="BR20" s="59"/>
      <c r="BS20" s="59"/>
      <c r="BT20" s="59"/>
      <c r="BU20" s="59"/>
      <c r="BV20" s="59"/>
      <c r="BW20" s="59"/>
      <c r="BX20" s="59"/>
      <c r="BY20" s="59"/>
      <c r="BZ20" s="59"/>
      <c r="CA20" s="59"/>
      <c r="CB20" s="59"/>
      <c r="CC20" s="59"/>
    </row>
    <row r="21" spans="1:81" s="63" customFormat="1" ht="25.5" customHeight="1" x14ac:dyDescent="0.25">
      <c r="A21" s="66" t="s">
        <v>205</v>
      </c>
      <c r="B21" s="57" t="s">
        <v>206</v>
      </c>
      <c r="C21" s="67" t="s">
        <v>207</v>
      </c>
      <c r="D21" s="47"/>
      <c r="E21" s="59"/>
      <c r="F21" s="59"/>
    </row>
    <row r="22" spans="1:81" s="59" customFormat="1" ht="25.5" customHeight="1" x14ac:dyDescent="0.25">
      <c r="A22" s="57" t="s">
        <v>243</v>
      </c>
      <c r="B22" s="57">
        <v>4217</v>
      </c>
      <c r="C22" s="60" t="s">
        <v>201</v>
      </c>
      <c r="D22" s="47"/>
      <c r="E22" s="47"/>
      <c r="F22" s="47"/>
    </row>
    <row r="23" spans="1:81" s="59" customFormat="1" ht="25.5" customHeight="1" x14ac:dyDescent="0.25">
      <c r="A23" s="57" t="s">
        <v>208</v>
      </c>
      <c r="B23" s="57">
        <v>531</v>
      </c>
      <c r="C23" s="73" t="s">
        <v>241</v>
      </c>
      <c r="D23" s="47"/>
      <c r="E23" s="47"/>
      <c r="F23" s="47"/>
    </row>
    <row r="24" spans="1:81" s="59" customFormat="1" ht="25.5" customHeight="1" x14ac:dyDescent="0.25">
      <c r="A24" s="57" t="s">
        <v>209</v>
      </c>
      <c r="B24" s="57" t="s">
        <v>210</v>
      </c>
      <c r="C24" s="73" t="s">
        <v>241</v>
      </c>
      <c r="D24" s="47"/>
      <c r="E24" s="47"/>
      <c r="F24" s="47"/>
    </row>
    <row r="25" spans="1:81" s="59" customFormat="1" ht="25.5" customHeight="1" x14ac:dyDescent="0.25">
      <c r="A25" s="57" t="s">
        <v>211</v>
      </c>
      <c r="B25" s="57" t="s">
        <v>240</v>
      </c>
      <c r="C25" s="73" t="s">
        <v>241</v>
      </c>
      <c r="D25" s="47"/>
      <c r="E25" s="47"/>
      <c r="F25" s="47"/>
    </row>
    <row r="26" spans="1:81" s="59" customFormat="1" ht="25.5" customHeight="1" x14ac:dyDescent="0.25">
      <c r="A26" s="57" t="s">
        <v>212</v>
      </c>
      <c r="B26" s="57" t="s">
        <v>213</v>
      </c>
      <c r="C26" s="73" t="s">
        <v>241</v>
      </c>
      <c r="D26" s="47"/>
      <c r="E26" s="47"/>
      <c r="F26" s="47"/>
    </row>
    <row r="27" spans="1:81" ht="25.5" customHeight="1" x14ac:dyDescent="0.2">
      <c r="A27" s="75" t="s">
        <v>249</v>
      </c>
      <c r="B27" s="75" t="s">
        <v>257</v>
      </c>
      <c r="C27" s="76" t="s">
        <v>256</v>
      </c>
      <c r="D27" s="47"/>
      <c r="E27" s="47"/>
      <c r="F27" s="47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BN27" s="59"/>
      <c r="BO27" s="59"/>
      <c r="BP27" s="59"/>
      <c r="BQ27" s="59"/>
      <c r="BR27" s="59"/>
      <c r="BS27" s="59"/>
      <c r="BT27" s="59"/>
      <c r="BU27" s="59"/>
      <c r="BV27" s="59"/>
      <c r="BW27" s="59"/>
      <c r="BX27" s="59"/>
      <c r="BY27" s="59"/>
      <c r="BZ27" s="59"/>
      <c r="CA27" s="59"/>
      <c r="CB27" s="59"/>
      <c r="CC27" s="59"/>
    </row>
    <row r="28" spans="1:81" s="63" customFormat="1" ht="25.5" customHeight="1" x14ac:dyDescent="0.25">
      <c r="A28" s="78" t="s">
        <v>250</v>
      </c>
      <c r="B28" s="57">
        <v>1972</v>
      </c>
      <c r="C28" s="79" t="s">
        <v>251</v>
      </c>
      <c r="D28" s="47"/>
      <c r="E28" s="59"/>
      <c r="F28" s="59"/>
    </row>
    <row r="29" spans="1:81" s="59" customFormat="1" ht="25.5" customHeight="1" x14ac:dyDescent="0.25">
      <c r="A29" s="75" t="s">
        <v>265</v>
      </c>
      <c r="B29" s="75" t="s">
        <v>266</v>
      </c>
      <c r="C29" s="73"/>
      <c r="D29" s="47"/>
      <c r="E29" s="47"/>
      <c r="F29" s="47"/>
    </row>
    <row r="30" spans="1:81" ht="25.5" customHeight="1" x14ac:dyDescent="0.2">
      <c r="A30" s="57" t="s">
        <v>30</v>
      </c>
      <c r="B30" s="96">
        <v>18088</v>
      </c>
      <c r="C30" s="76" t="s">
        <v>278</v>
      </c>
      <c r="D30" s="47"/>
      <c r="E30" s="47"/>
      <c r="F30" s="47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59"/>
      <c r="BP30" s="59"/>
      <c r="BQ30" s="59"/>
      <c r="BR30" s="59"/>
      <c r="BS30" s="59"/>
      <c r="BT30" s="59"/>
      <c r="BU30" s="59"/>
      <c r="BV30" s="59"/>
      <c r="BW30" s="59"/>
      <c r="BX30" s="59"/>
      <c r="BY30" s="59"/>
      <c r="BZ30" s="59"/>
      <c r="CA30" s="59"/>
      <c r="CB30" s="59"/>
      <c r="CC30" s="59"/>
    </row>
    <row r="31" spans="1:81" ht="25.5" customHeight="1" x14ac:dyDescent="0.2">
      <c r="A31" s="125" t="s">
        <v>216</v>
      </c>
      <c r="B31" s="126"/>
      <c r="C31" s="127"/>
      <c r="D31" s="47"/>
      <c r="E31" s="48"/>
      <c r="F31" s="61"/>
    </row>
    <row r="32" spans="1:81" s="72" customFormat="1" ht="25.5" customHeight="1" x14ac:dyDescent="0.25">
      <c r="A32" s="69" t="s">
        <v>217</v>
      </c>
      <c r="B32" s="69" t="s">
        <v>218</v>
      </c>
      <c r="C32" s="70" t="s">
        <v>176</v>
      </c>
      <c r="D32" s="71"/>
      <c r="E32" s="71"/>
      <c r="F32" s="71"/>
    </row>
    <row r="33" spans="1:81" ht="25.5" customHeight="1" x14ac:dyDescent="0.2">
      <c r="A33" s="57" t="s">
        <v>233</v>
      </c>
      <c r="B33" s="57">
        <v>2512</v>
      </c>
      <c r="C33" s="58" t="s">
        <v>234</v>
      </c>
      <c r="D33" s="47"/>
      <c r="E33" s="48"/>
      <c r="F33" s="61"/>
    </row>
    <row r="34" spans="1:81" s="59" customFormat="1" ht="25.5" customHeight="1" x14ac:dyDescent="0.2">
      <c r="A34" s="57" t="s">
        <v>237</v>
      </c>
      <c r="B34" s="57">
        <v>2512</v>
      </c>
      <c r="C34" s="58" t="s">
        <v>220</v>
      </c>
      <c r="D34" s="47"/>
      <c r="E34" s="48"/>
      <c r="F34" s="61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49"/>
      <c r="BI34" s="49"/>
      <c r="BJ34" s="49"/>
      <c r="BK34" s="49"/>
      <c r="BL34" s="49"/>
      <c r="BM34" s="49"/>
      <c r="BN34" s="49"/>
      <c r="BO34" s="49"/>
      <c r="BP34" s="49"/>
      <c r="BQ34" s="49"/>
      <c r="BR34" s="49"/>
      <c r="BS34" s="49"/>
      <c r="BT34" s="49"/>
      <c r="BU34" s="49"/>
      <c r="BV34" s="49"/>
      <c r="BW34" s="49"/>
      <c r="BX34" s="49"/>
      <c r="BY34" s="49"/>
      <c r="BZ34" s="49"/>
      <c r="CA34" s="49"/>
      <c r="CB34" s="49"/>
      <c r="CC34" s="49"/>
    </row>
    <row r="35" spans="1:81" ht="25.5" customHeight="1" x14ac:dyDescent="0.2">
      <c r="A35" s="57" t="s">
        <v>224</v>
      </c>
      <c r="B35" s="57" t="s">
        <v>225</v>
      </c>
      <c r="C35" s="58" t="s">
        <v>226</v>
      </c>
      <c r="D35" s="47"/>
      <c r="E35" s="48"/>
      <c r="F35" s="61"/>
    </row>
    <row r="36" spans="1:81" s="59" customFormat="1" ht="25.5" customHeight="1" x14ac:dyDescent="0.2">
      <c r="A36" s="57" t="s">
        <v>231</v>
      </c>
      <c r="B36" s="57">
        <v>2512</v>
      </c>
      <c r="C36" s="58" t="s">
        <v>220</v>
      </c>
      <c r="D36" s="47"/>
      <c r="E36" s="48"/>
      <c r="F36" s="61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  <c r="BC36" s="49"/>
      <c r="BD36" s="49"/>
      <c r="BE36" s="49"/>
      <c r="BF36" s="49"/>
      <c r="BG36" s="49"/>
      <c r="BH36" s="49"/>
      <c r="BI36" s="49"/>
      <c r="BJ36" s="49"/>
      <c r="BK36" s="49"/>
      <c r="BL36" s="49"/>
      <c r="BM36" s="49"/>
      <c r="BN36" s="49"/>
      <c r="BO36" s="49"/>
      <c r="BP36" s="49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9"/>
      <c r="CC36" s="49"/>
    </row>
    <row r="37" spans="1:81" ht="25.5" customHeight="1" x14ac:dyDescent="0.2">
      <c r="A37" s="57" t="s">
        <v>227</v>
      </c>
      <c r="B37" s="57">
        <v>1974</v>
      </c>
      <c r="C37" s="58" t="s">
        <v>220</v>
      </c>
      <c r="D37" s="47"/>
      <c r="E37" s="47"/>
      <c r="F37" s="47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  <c r="BN37" s="59"/>
      <c r="BO37" s="59"/>
      <c r="BP37" s="59"/>
      <c r="BQ37" s="59"/>
      <c r="BR37" s="59"/>
      <c r="BS37" s="59"/>
      <c r="BT37" s="59"/>
      <c r="BU37" s="59"/>
      <c r="BV37" s="59"/>
      <c r="BW37" s="59"/>
      <c r="BX37" s="59"/>
      <c r="BY37" s="59"/>
      <c r="BZ37" s="59"/>
      <c r="CA37" s="59"/>
      <c r="CB37" s="59"/>
      <c r="CC37" s="59"/>
    </row>
    <row r="38" spans="1:81" s="59" customFormat="1" ht="25.5" customHeight="1" x14ac:dyDescent="0.25">
      <c r="A38" s="57" t="s">
        <v>222</v>
      </c>
      <c r="B38" s="57">
        <v>1974</v>
      </c>
      <c r="C38" s="58" t="s">
        <v>223</v>
      </c>
      <c r="D38" s="47"/>
      <c r="E38" s="47"/>
      <c r="F38" s="47"/>
    </row>
    <row r="39" spans="1:81" ht="25.5" customHeight="1" x14ac:dyDescent="0.2">
      <c r="A39" s="57" t="s">
        <v>219</v>
      </c>
      <c r="B39" s="57">
        <v>2512</v>
      </c>
      <c r="C39" s="58" t="s">
        <v>220</v>
      </c>
      <c r="D39" s="47"/>
      <c r="E39" s="48"/>
      <c r="F39" s="61"/>
    </row>
    <row r="40" spans="1:81" s="59" customFormat="1" ht="25.5" customHeight="1" x14ac:dyDescent="0.25">
      <c r="A40" s="57" t="s">
        <v>238</v>
      </c>
      <c r="B40" s="57">
        <v>1974</v>
      </c>
      <c r="C40" s="58" t="s">
        <v>234</v>
      </c>
      <c r="D40" s="47"/>
      <c r="E40" s="47"/>
      <c r="F40" s="47"/>
    </row>
    <row r="41" spans="1:81" ht="25.5" customHeight="1" x14ac:dyDescent="0.2">
      <c r="A41" s="75" t="s">
        <v>269</v>
      </c>
      <c r="B41" s="57">
        <v>1974</v>
      </c>
      <c r="C41" s="92" t="s">
        <v>267</v>
      </c>
      <c r="D41" s="47"/>
      <c r="E41" s="47"/>
      <c r="F41" s="47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  <c r="BD41" s="59"/>
      <c r="BE41" s="59"/>
      <c r="BF41" s="59"/>
      <c r="BG41" s="59"/>
      <c r="BH41" s="59"/>
      <c r="BI41" s="59"/>
      <c r="BJ41" s="59"/>
      <c r="BK41" s="59"/>
      <c r="BL41" s="59"/>
      <c r="BM41" s="59"/>
      <c r="BN41" s="59"/>
      <c r="BO41" s="59"/>
      <c r="BP41" s="59"/>
      <c r="BQ41" s="59"/>
      <c r="BR41" s="59"/>
      <c r="BS41" s="59"/>
      <c r="BT41" s="59"/>
      <c r="BU41" s="59"/>
      <c r="BV41" s="59"/>
      <c r="BW41" s="59"/>
      <c r="BX41" s="59"/>
      <c r="BY41" s="59"/>
      <c r="BZ41" s="59"/>
      <c r="CA41" s="59"/>
      <c r="CB41" s="59"/>
      <c r="CC41" s="59"/>
    </row>
    <row r="42" spans="1:81" s="59" customFormat="1" ht="25.5" customHeight="1" x14ac:dyDescent="0.2">
      <c r="A42" s="57" t="s">
        <v>236</v>
      </c>
      <c r="B42" s="57">
        <v>2512</v>
      </c>
      <c r="C42" s="58" t="s">
        <v>234</v>
      </c>
      <c r="D42" s="47"/>
      <c r="E42" s="48"/>
      <c r="F42" s="61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49"/>
      <c r="BG42" s="49"/>
      <c r="BH42" s="49"/>
      <c r="BI42" s="49"/>
      <c r="BJ42" s="49"/>
      <c r="BK42" s="49"/>
      <c r="BL42" s="49"/>
      <c r="BM42" s="49"/>
      <c r="BN42" s="49"/>
      <c r="BO42" s="49"/>
      <c r="BP42" s="49"/>
      <c r="BQ42" s="49"/>
      <c r="BR42" s="49"/>
      <c r="BS42" s="49"/>
      <c r="BT42" s="49"/>
      <c r="BU42" s="49"/>
      <c r="BV42" s="49"/>
      <c r="BW42" s="49"/>
      <c r="BX42" s="49"/>
      <c r="BY42" s="49"/>
      <c r="BZ42" s="49"/>
      <c r="CA42" s="49"/>
      <c r="CB42" s="49"/>
      <c r="CC42" s="49"/>
    </row>
    <row r="43" spans="1:81" ht="25.5" customHeight="1" x14ac:dyDescent="0.2">
      <c r="A43" s="57" t="s">
        <v>221</v>
      </c>
      <c r="B43" s="57">
        <v>2512</v>
      </c>
      <c r="C43" s="58" t="s">
        <v>220</v>
      </c>
      <c r="D43" s="47"/>
      <c r="E43" s="48"/>
      <c r="F43" s="61"/>
    </row>
    <row r="44" spans="1:81" s="59" customFormat="1" ht="25.5" customHeight="1" x14ac:dyDescent="0.25">
      <c r="A44" s="57" t="s">
        <v>235</v>
      </c>
      <c r="B44" s="57">
        <v>2512</v>
      </c>
      <c r="C44" s="58" t="s">
        <v>234</v>
      </c>
      <c r="D44" s="47"/>
      <c r="E44" s="47"/>
      <c r="F44" s="47"/>
    </row>
    <row r="45" spans="1:81" ht="25.5" customHeight="1" x14ac:dyDescent="0.2">
      <c r="A45" s="57" t="s">
        <v>239</v>
      </c>
      <c r="B45" s="57">
        <v>1974</v>
      </c>
      <c r="C45" s="58" t="s">
        <v>220</v>
      </c>
      <c r="D45" s="47"/>
      <c r="E45" s="47"/>
      <c r="F45" s="47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BN45" s="59"/>
      <c r="BO45" s="59"/>
      <c r="BP45" s="59"/>
      <c r="BQ45" s="59"/>
      <c r="BR45" s="59"/>
      <c r="BS45" s="59"/>
      <c r="BT45" s="59"/>
      <c r="BU45" s="59"/>
      <c r="BV45" s="59"/>
      <c r="BW45" s="59"/>
      <c r="BX45" s="59"/>
      <c r="BY45" s="59"/>
      <c r="BZ45" s="59"/>
      <c r="CA45" s="59"/>
      <c r="CB45" s="59"/>
      <c r="CC45" s="59"/>
    </row>
    <row r="46" spans="1:81" s="59" customFormat="1" ht="25.5" customHeight="1" x14ac:dyDescent="0.25">
      <c r="A46" s="57" t="s">
        <v>232</v>
      </c>
      <c r="B46" s="57">
        <v>1974</v>
      </c>
      <c r="C46" s="58" t="s">
        <v>220</v>
      </c>
      <c r="D46" s="47"/>
      <c r="E46" s="47"/>
      <c r="F46" s="47"/>
    </row>
    <row r="47" spans="1:81" ht="25.5" customHeight="1" x14ac:dyDescent="0.2">
      <c r="A47" s="57" t="s">
        <v>228</v>
      </c>
      <c r="B47" s="57">
        <v>2512</v>
      </c>
      <c r="C47" s="58" t="s">
        <v>229</v>
      </c>
      <c r="D47" s="47"/>
      <c r="E47" s="48"/>
      <c r="F47" s="61"/>
    </row>
    <row r="48" spans="1:81" s="59" customFormat="1" ht="25.5" customHeight="1" x14ac:dyDescent="0.25">
      <c r="A48" s="57" t="s">
        <v>228</v>
      </c>
      <c r="B48" s="57">
        <v>2512</v>
      </c>
      <c r="C48" s="58" t="s">
        <v>230</v>
      </c>
      <c r="D48" s="47"/>
      <c r="E48" s="47"/>
      <c r="F48" s="47"/>
    </row>
  </sheetData>
  <sortState xmlns:xlrd2="http://schemas.microsoft.com/office/spreadsheetml/2017/richdata2" ref="A30:CC45">
    <sortCondition ref="A30:A45"/>
  </sortState>
  <mergeCells count="1">
    <mergeCell ref="A31:C31"/>
  </mergeCells>
  <printOptions horizontalCentered="1" gridLines="1"/>
  <pageMargins left="0.23622047244094491" right="0.23622047244094491" top="0.74803149606299213" bottom="0.74803149606299213" header="0.31496062992125984" footer="0.31496062992125984"/>
  <pageSetup paperSize="9" scale="80" fitToHeight="0" orientation="landscape" verticalDpi="598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All Properties</vt:lpstr>
      <vt:lpstr>Access</vt:lpstr>
      <vt:lpstr>Access!Print_Area</vt:lpstr>
      <vt:lpstr>'All Properties'!Print_Area</vt:lpstr>
      <vt:lpstr>Access!Print_Titles</vt:lpstr>
    </vt:vector>
  </TitlesOfParts>
  <Company>Dacorum Borough Council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Tattersall</dc:creator>
  <cp:lastModifiedBy>Andrew Sweeney</cp:lastModifiedBy>
  <cp:lastPrinted>2026-03-25T15:07:19Z</cp:lastPrinted>
  <dcterms:created xsi:type="dcterms:W3CDTF">2019-11-11T10:48:18Z</dcterms:created>
  <dcterms:modified xsi:type="dcterms:W3CDTF">2026-04-09T12:34:47Z</dcterms:modified>
</cp:coreProperties>
</file>