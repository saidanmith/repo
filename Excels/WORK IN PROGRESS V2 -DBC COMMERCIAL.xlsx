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en\Desktop\feldman\"/>
    </mc:Choice>
  </mc:AlternateContent>
  <xr:revisionPtr revIDLastSave="0" documentId="13_ncr:1_{606A885E-C4C5-49C9-B0A2-99F6849324FC}" xr6:coauthVersionLast="47" xr6:coauthVersionMax="47" xr10:uidLastSave="{00000000-0000-0000-0000-000000000000}"/>
  <bookViews>
    <workbookView xWindow="19095" yWindow="0" windowWidth="19410" windowHeight="20985" tabRatio="602" firstSheet="1" activeTab="5" xr2:uid="{00000000-000D-0000-FFFF-FFFF00000000}"/>
    <workbookView xWindow="-105" yWindow="0" windowWidth="19410" windowHeight="20985" firstSheet="2" activeTab="5" xr2:uid="{7E0B2CC4-A29E-4658-8676-DED83C804ABD}"/>
  </bookViews>
  <sheets>
    <sheet name="Sheet1" sheetId="13" state="hidden" r:id="rId1"/>
    <sheet name="Legend &amp; Summary" sheetId="10" r:id="rId2"/>
    <sheet name="Management Survey" sheetId="4" r:id="rId3"/>
    <sheet name="ASR1 Requests" sheetId="2" r:id="rId4"/>
    <sheet name="Spare" sheetId="14" r:id="rId5"/>
    <sheet name="Re-Inspections 26" sheetId="16" r:id="rId6"/>
  </sheets>
  <definedNames>
    <definedName name="_xlnm._FilterDatabase" localSheetId="3" hidden="1">'ASR1 Requests'!$A$1:$Q$42</definedName>
    <definedName name="_xlnm._FilterDatabase" localSheetId="2" hidden="1">'Management Survey'!$A$1:$P$100</definedName>
    <definedName name="_xlnm._FilterDatabase" localSheetId="4" hidden="1">Spare!$A$1:$Q$217</definedName>
    <definedName name="_xlnm.Print_Area" localSheetId="3">'ASR1 Requests'!$A$1:$Q$9</definedName>
    <definedName name="_xlnm.Print_Area" localSheetId="2">'Management Survey'!$A$1:$O$48</definedName>
  </definedNames>
  <calcPr calcId="191029"/>
</workbook>
</file>

<file path=xl/calcChain.xml><?xml version="1.0" encoding="utf-8"?>
<calcChain xmlns="http://schemas.openxmlformats.org/spreadsheetml/2006/main">
  <c r="G12" i="10" l="1"/>
  <c r="G11" i="10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Q2" i="14"/>
  <c r="F13" i="10"/>
  <c r="E13" i="10"/>
  <c r="F16" i="10" l="1"/>
  <c r="F15" i="10"/>
  <c r="F14" i="10"/>
  <c r="F12" i="10"/>
  <c r="F11" i="10"/>
  <c r="E16" i="10" l="1"/>
  <c r="E15" i="10"/>
  <c r="E14" i="10"/>
  <c r="E12" i="10"/>
  <c r="E11" i="10"/>
</calcChain>
</file>

<file path=xl/sharedStrings.xml><?xml version="1.0" encoding="utf-8"?>
<sst xmlns="http://schemas.openxmlformats.org/spreadsheetml/2006/main" count="1084" uniqueCount="317">
  <si>
    <r>
      <rPr>
        <b/>
        <sz val="8"/>
        <rFont val="Kalinga"/>
        <family val="2"/>
      </rPr>
      <t>Name</t>
    </r>
  </si>
  <si>
    <r>
      <rPr>
        <b/>
        <sz val="8"/>
        <rFont val="Kalinga"/>
        <family val="2"/>
      </rPr>
      <t>Address</t>
    </r>
  </si>
  <si>
    <r>
      <rPr>
        <b/>
        <sz val="8"/>
        <rFont val="Kalinga"/>
        <family val="2"/>
      </rPr>
      <t>Post Code</t>
    </r>
  </si>
  <si>
    <r>
      <rPr>
        <b/>
        <sz val="8"/>
        <rFont val="Kalinga"/>
        <family val="2"/>
      </rPr>
      <t>Contact
Number</t>
    </r>
  </si>
  <si>
    <r>
      <rPr>
        <b/>
        <sz val="8"/>
        <rFont val="Kalinga"/>
        <family val="2"/>
      </rPr>
      <t>NOTES / MISSED APPTS</t>
    </r>
  </si>
  <si>
    <t>Job Number</t>
  </si>
  <si>
    <t>Booked</t>
  </si>
  <si>
    <t>Complete surveys - Highlight once sent</t>
  </si>
  <si>
    <r>
      <rPr>
        <sz val="8"/>
        <rFont val="Kalinga"/>
        <family val="2"/>
      </rPr>
      <t>Date
Surveyed</t>
    </r>
  </si>
  <si>
    <t>Letter Sent</t>
  </si>
  <si>
    <t>Assistance required by Dacorum, Incorrect Telephone numbers etc.</t>
  </si>
  <si>
    <t>Date Received</t>
  </si>
  <si>
    <t>Due Date</t>
  </si>
  <si>
    <t>Refurbishment</t>
  </si>
  <si>
    <t>Survey Type</t>
  </si>
  <si>
    <t>Requestee</t>
  </si>
  <si>
    <t>Access Issues</t>
  </si>
  <si>
    <t>Access issues</t>
  </si>
  <si>
    <t>Date received</t>
  </si>
  <si>
    <t>Survey sent</t>
  </si>
  <si>
    <t>Survey Sent</t>
  </si>
  <si>
    <t>UPRN</t>
  </si>
  <si>
    <t>Building Type</t>
  </si>
  <si>
    <t>Number of requests</t>
  </si>
  <si>
    <t>Complete</t>
  </si>
  <si>
    <t>Outstanding</t>
  </si>
  <si>
    <t>Cancelled</t>
  </si>
  <si>
    <t>Need Assistance</t>
  </si>
  <si>
    <t>Status</t>
  </si>
  <si>
    <t>HP2 5SB</t>
  </si>
  <si>
    <r>
      <rPr>
        <b/>
        <sz val="8"/>
        <rFont val="Kalinga"/>
        <family val="2"/>
      </rPr>
      <t>Date
Surveyed</t>
    </r>
  </si>
  <si>
    <t>HP3 8DZ</t>
  </si>
  <si>
    <t>Management</t>
  </si>
  <si>
    <t>HP2 7AR</t>
  </si>
  <si>
    <t>HP1 2NX</t>
  </si>
  <si>
    <t>HP1 2HX</t>
  </si>
  <si>
    <t>Work Type</t>
  </si>
  <si>
    <t>Priority of works</t>
  </si>
  <si>
    <t>Richard Tattersall</t>
  </si>
  <si>
    <t>Commercial</t>
  </si>
  <si>
    <t>Management Surveys</t>
  </si>
  <si>
    <t>ASR1 Requests</t>
  </si>
  <si>
    <t>48 High Street</t>
  </si>
  <si>
    <t>HP1 3AF</t>
  </si>
  <si>
    <t>Appoint Booked</t>
  </si>
  <si>
    <t>Adeyfield Community Centre</t>
  </si>
  <si>
    <t>HP2 4EW</t>
  </si>
  <si>
    <t>Bellgate Shopping Centre 1-38</t>
  </si>
  <si>
    <t>Bennetts End Community Centre</t>
  </si>
  <si>
    <t>HP3 9LZ</t>
  </si>
  <si>
    <t>Bennetsgate Shopping Centre 1-51</t>
  </si>
  <si>
    <t>HP3 8EW</t>
  </si>
  <si>
    <t>Berkhampstead Civic Centre</t>
  </si>
  <si>
    <t>HP4 3HB</t>
  </si>
  <si>
    <t>Brickfields Ind Est 1-21</t>
  </si>
  <si>
    <t>HP2 7QA</t>
  </si>
  <si>
    <t>Chaulden Adventure Playground</t>
  </si>
  <si>
    <t>Chaulden Community Centre</t>
  </si>
  <si>
    <t>Chaulden Shops</t>
  </si>
  <si>
    <t>Cupid Green Depot (building A)</t>
  </si>
  <si>
    <t>HP2 7BA</t>
  </si>
  <si>
    <t>Cupid Green Depot (Buildings B&amp;C)</t>
  </si>
  <si>
    <t>Gadebridge Community Centre</t>
  </si>
  <si>
    <t>HP1 3LG</t>
  </si>
  <si>
    <t>Gadebridge Youth Centre</t>
  </si>
  <si>
    <t>HP1 3LF</t>
  </si>
  <si>
    <t>Grovehill Community Centre</t>
  </si>
  <si>
    <t>HP2 6BJ</t>
  </si>
  <si>
    <t>Heath Lane cemetery Chapel</t>
  </si>
  <si>
    <t>HP1 1TS</t>
  </si>
  <si>
    <t>Heath Lane cemetery Lodge</t>
  </si>
  <si>
    <t>Hemel Hempstead Bowls Club</t>
  </si>
  <si>
    <t>HP1 1HR</t>
  </si>
  <si>
    <t>High Street Green Sports Pavillion</t>
  </si>
  <si>
    <t>Highfield Community Centre</t>
  </si>
  <si>
    <t>Hobbs Hill Road Shops</t>
  </si>
  <si>
    <t>HP3 9QG</t>
  </si>
  <si>
    <t>Kingshill Cemetery Lodge</t>
  </si>
  <si>
    <t>HP4 3UG</t>
  </si>
  <si>
    <t>Kingshill Cemetery Workshop, Welfare Area &amp; toilets</t>
  </si>
  <si>
    <t>Leverstock Green Sports pavilion</t>
  </si>
  <si>
    <t>HP3 8QG</t>
  </si>
  <si>
    <t>Leverstock Green Village Hall</t>
  </si>
  <si>
    <t>Nash Mills Recreation Area Shower &amp; Toilet Facilities</t>
  </si>
  <si>
    <t>HP3 9TE</t>
  </si>
  <si>
    <t>Old Town Hall</t>
  </si>
  <si>
    <t>HP1 3AE</t>
  </si>
  <si>
    <t>Old Town Public Convenience</t>
  </si>
  <si>
    <t>HP2 4ES</t>
  </si>
  <si>
    <t>Queens Square Shopping Centre</t>
  </si>
  <si>
    <t>Stoneycroft Shopping Centre</t>
  </si>
  <si>
    <t>HP1 2QF</t>
  </si>
  <si>
    <t>The Bury registry Office</t>
  </si>
  <si>
    <t>The Centre in the Park</t>
  </si>
  <si>
    <t>The Counting House</t>
  </si>
  <si>
    <t>HP23 5TE</t>
  </si>
  <si>
    <t>The Denes Shopping Centre</t>
  </si>
  <si>
    <t>HP3 8AP</t>
  </si>
  <si>
    <t>The Forge Car Park Public Convenience</t>
  </si>
  <si>
    <t>HP23 5SH</t>
  </si>
  <si>
    <t>The Gables ( Relate)</t>
  </si>
  <si>
    <t>HP2 5HL</t>
  </si>
  <si>
    <t>The Heights Shopping Centre</t>
  </si>
  <si>
    <t>HP2 5NX</t>
  </si>
  <si>
    <t>HP23 5EP</t>
  </si>
  <si>
    <t>Tring community Centre</t>
  </si>
  <si>
    <t>Tringford depot</t>
  </si>
  <si>
    <t>HP23 4JL</t>
  </si>
  <si>
    <t>Warners End community Centre</t>
  </si>
  <si>
    <t>HP1 3QG</t>
  </si>
  <si>
    <t>Wayside</t>
  </si>
  <si>
    <t>Woodhall farm Community Centre</t>
  </si>
  <si>
    <t>HP2 7JX</t>
  </si>
  <si>
    <t>HP2 7LF</t>
  </si>
  <si>
    <t>Woodwells Cemetery Office, toilets &amp; Workshop</t>
  </si>
  <si>
    <t>Woodwells Cemetery Lodge</t>
  </si>
  <si>
    <t>Leverstock Green Village Centre Shops</t>
  </si>
  <si>
    <t>G-17422</t>
  </si>
  <si>
    <t>128-130 Bennetsgate</t>
  </si>
  <si>
    <t>G-17792</t>
  </si>
  <si>
    <t>Unit 10 Brickfield</t>
  </si>
  <si>
    <t>G17952</t>
  </si>
  <si>
    <t>Grovehill Youth Centre</t>
  </si>
  <si>
    <t>1-2 Hammer Lane</t>
  </si>
  <si>
    <t>G-18204</t>
  </si>
  <si>
    <t>G-17388</t>
  </si>
  <si>
    <t>G-17572</t>
  </si>
  <si>
    <t>G-17887</t>
  </si>
  <si>
    <t>G-17256</t>
  </si>
  <si>
    <t>G-17364</t>
  </si>
  <si>
    <t>G-17421</t>
  </si>
  <si>
    <t>G-17763</t>
  </si>
  <si>
    <t>G-17372</t>
  </si>
  <si>
    <t>G-17886</t>
  </si>
  <si>
    <t>G-17389</t>
  </si>
  <si>
    <t>G-17390</t>
  </si>
  <si>
    <t>G-17325</t>
  </si>
  <si>
    <t>G-17327</t>
  </si>
  <si>
    <t>G-17289</t>
  </si>
  <si>
    <t>G-17643</t>
  </si>
  <si>
    <t>G-17644</t>
  </si>
  <si>
    <t>G-17291</t>
  </si>
  <si>
    <t>G-17885</t>
  </si>
  <si>
    <t>G-17445</t>
  </si>
  <si>
    <t>G-18507</t>
  </si>
  <si>
    <t>G-17318</t>
  </si>
  <si>
    <t>G-17446</t>
  </si>
  <si>
    <t>G-18148</t>
  </si>
  <si>
    <t>G-18146</t>
  </si>
  <si>
    <t>G-18147</t>
  </si>
  <si>
    <t>G-18292</t>
  </si>
  <si>
    <t>G-17366</t>
  </si>
  <si>
    <t>G-18293</t>
  </si>
  <si>
    <t>G-18508</t>
  </si>
  <si>
    <t>G-18471</t>
  </si>
  <si>
    <t>G-17854</t>
  </si>
  <si>
    <t>G-17365</t>
  </si>
  <si>
    <t>G-17640</t>
  </si>
  <si>
    <t>G-17661</t>
  </si>
  <si>
    <t>G-17329</t>
  </si>
  <si>
    <t>Tony Moore</t>
  </si>
  <si>
    <t>HP2 6BH</t>
  </si>
  <si>
    <t>HP2 4EU</t>
  </si>
  <si>
    <t>Horace White</t>
  </si>
  <si>
    <t>House that jack built - Nursery</t>
  </si>
  <si>
    <t>14 Appsley Ind Est</t>
  </si>
  <si>
    <t>Jim Mitchell</t>
  </si>
  <si>
    <t>Spoke to Jim, he said to cancel request as the works have already been carried out</t>
  </si>
  <si>
    <t>HP3 9XH</t>
  </si>
  <si>
    <t>Called to book in survey, Jim Mitchell advised that a survey had already been carried out and that this is not now required</t>
  </si>
  <si>
    <t>Spare Tab</t>
  </si>
  <si>
    <t>G-17444</t>
  </si>
  <si>
    <t>TBC</t>
  </si>
  <si>
    <t>Booked / In Progress</t>
  </si>
  <si>
    <t xml:space="preserve">Cancelled survey requests </t>
  </si>
  <si>
    <t>Dacorum Borough Council - Commercial Properties</t>
  </si>
  <si>
    <t>G-17855</t>
  </si>
  <si>
    <t>3 Queensway</t>
  </si>
  <si>
    <t>HP1 1LS</t>
  </si>
  <si>
    <t>G-18816</t>
  </si>
  <si>
    <t>Appoint rebooked with Maria for the 3rd April</t>
  </si>
  <si>
    <t>6/12 Tenant of Lodge wouldn't allow access, rebook</t>
  </si>
  <si>
    <t>G-19212</t>
  </si>
  <si>
    <t>G-19211</t>
  </si>
  <si>
    <t>Not all areas available, revisit date DBC</t>
  </si>
  <si>
    <t>Bar No access - Awaiting date and time we can access this area</t>
  </si>
  <si>
    <t>No access to library - Book revisit for a Thursday</t>
  </si>
  <si>
    <t xml:space="preserve">No answer to various calls, emails.  Chris Conley, put me in touch with Micheal Darke at the club who has booked this in for 9.30am on the 11th April </t>
  </si>
  <si>
    <t>Tony Moore to have keys avaialable for us to collect from the Bowls Club in the morning</t>
  </si>
  <si>
    <t>Keysafe for access (1972)</t>
  </si>
  <si>
    <t>Spoke to Tony Moore, tenant of property suffers with dementia.  He will make contact to explain and come back to me when ready to schedule in</t>
  </si>
  <si>
    <t>G-19256</t>
  </si>
  <si>
    <t>G-19257</t>
  </si>
  <si>
    <t>G-19396</t>
  </si>
  <si>
    <t>G-19397</t>
  </si>
  <si>
    <t>G-19398</t>
  </si>
  <si>
    <t>Unit 8 Appsley</t>
  </si>
  <si>
    <t>G-19978</t>
  </si>
  <si>
    <t>52 Old Town</t>
  </si>
  <si>
    <t>G-19979</t>
  </si>
  <si>
    <t>G-19980</t>
  </si>
  <si>
    <t>100 Old Town</t>
  </si>
  <si>
    <t>HP1 3AQ</t>
  </si>
  <si>
    <t>Adeyfield Adventure Playground</t>
  </si>
  <si>
    <t>Apsley Community Centre</t>
  </si>
  <si>
    <t>Apsley Industrial Estate Units 1 to 16</t>
  </si>
  <si>
    <t>Apsley Public Convenience</t>
  </si>
  <si>
    <t>Bennetts End Adventure Playground</t>
  </si>
  <si>
    <t>Bennetts End Depot</t>
  </si>
  <si>
    <t>Charter Court / Beautyfull Beauty Room</t>
  </si>
  <si>
    <t>Charter Court / Kings Langley Parish Council</t>
  </si>
  <si>
    <t>Coronation Fields Sports Pavilion</t>
  </si>
  <si>
    <t>Cupid Green Sports Pavilion</t>
  </si>
  <si>
    <t>Dacre House</t>
  </si>
  <si>
    <t>Grovehill and Woodhall Farm Adventure Playground</t>
  </si>
  <si>
    <t>Grovehill Sports Pavilion</t>
  </si>
  <si>
    <t>Henry Wells Square Shops</t>
  </si>
  <si>
    <t>Lagley Meadow Sports Pavilion</t>
  </si>
  <si>
    <t>Leverstock Green Public Convenience</t>
  </si>
  <si>
    <t>Leverstock Green Village Hall - Library</t>
  </si>
  <si>
    <t>Rossgate Shopping Centre numbers 1 to 33 (+ 4 garages)</t>
  </si>
  <si>
    <t>Silk Mill Shopping Centre</t>
  </si>
  <si>
    <t>The Bury Garages 1 - 7 (Numbered from Gadebridge Park)</t>
  </si>
  <si>
    <t>The Bury Garages 10 - 12 (Numbered from Gadebridge Park)</t>
  </si>
  <si>
    <t>The Bury Garages 8 - 9 (Numbered from Gadebridge Park)</t>
  </si>
  <si>
    <t>The Bury Lodge (Dens)</t>
  </si>
  <si>
    <t>Trefoil House</t>
  </si>
  <si>
    <t>Tring Cemetery Chapel</t>
  </si>
  <si>
    <t>Tring Cemetery Lodge</t>
  </si>
  <si>
    <t>Tring Cemetery Staff Mess Room</t>
  </si>
  <si>
    <t>Tring Cemetery Visitor Toilets</t>
  </si>
  <si>
    <t>Velvet Lawn Sports Pavilion</t>
  </si>
  <si>
    <t>Victoria Hall</t>
  </si>
  <si>
    <t>Volunteer Centre</t>
  </si>
  <si>
    <t>Walled Garden and Charter Tower</t>
  </si>
  <si>
    <t>Warners End Sports Pavilion</t>
  </si>
  <si>
    <t>Water Gardens Car Park North</t>
  </si>
  <si>
    <t>Water Lane Public Convenience</t>
  </si>
  <si>
    <t>HP2 4LW</t>
  </si>
  <si>
    <t>HP3 9SB</t>
  </si>
  <si>
    <t>HP3 9RG</t>
  </si>
  <si>
    <t>HP3 8EQ</t>
  </si>
  <si>
    <t>HP3 8EN</t>
  </si>
  <si>
    <t>WD4 9HR</t>
  </si>
  <si>
    <t>HP3 9UP</t>
  </si>
  <si>
    <t xml:space="preserve">HP2 4AA </t>
  </si>
  <si>
    <t>HP2 6NH</t>
  </si>
  <si>
    <t>HP4 3PE</t>
  </si>
  <si>
    <t>HP1 1HT</t>
  </si>
  <si>
    <t>HP23 4DH</t>
  </si>
  <si>
    <t>HP4 2LN</t>
  </si>
  <si>
    <t>HP23 6AA</t>
  </si>
  <si>
    <t>HP1 1DT</t>
  </si>
  <si>
    <t>HP1 3LA</t>
  </si>
  <si>
    <t>HP1 1EF</t>
  </si>
  <si>
    <t>HP4 3FG</t>
  </si>
  <si>
    <t>Richard Tattersall - Batch 2</t>
  </si>
  <si>
    <t>Appoint booked</t>
  </si>
  <si>
    <t>G-21339</t>
  </si>
  <si>
    <t>G-21338</t>
  </si>
  <si>
    <t>G-21250</t>
  </si>
  <si>
    <t>G-21251</t>
  </si>
  <si>
    <t>G-21223</t>
  </si>
  <si>
    <t>G-21195</t>
  </si>
  <si>
    <t>G-21184</t>
  </si>
  <si>
    <t>G-20971</t>
  </si>
  <si>
    <t>G-21053</t>
  </si>
  <si>
    <t>G-20939</t>
  </si>
  <si>
    <t>G-20911</t>
  </si>
  <si>
    <t>G-21362</t>
  </si>
  <si>
    <t>G-21633</t>
  </si>
  <si>
    <t>G-21634</t>
  </si>
  <si>
    <t>G-21635</t>
  </si>
  <si>
    <t>Appoint Booked with Jess Rixon</t>
  </si>
  <si>
    <t>G-21660</t>
  </si>
  <si>
    <t>Appoint Booked with Kerry</t>
  </si>
  <si>
    <t xml:space="preserve">Revisit required - Booked in with Julie Banks for the 7th Aug </t>
  </si>
  <si>
    <t>Works being undertaken in the basement that was previously innaccesible, Tony asked us to attend to meet Orion on site to run through works and survey the area</t>
  </si>
  <si>
    <t>HP1 1HH</t>
  </si>
  <si>
    <t>G-21943</t>
  </si>
  <si>
    <t>G-21942</t>
  </si>
  <si>
    <t>G-21571</t>
  </si>
  <si>
    <t>G-21937</t>
  </si>
  <si>
    <t>G-21936</t>
  </si>
  <si>
    <t>G-21934</t>
  </si>
  <si>
    <t>G-21935</t>
  </si>
  <si>
    <t>G-21751</t>
  </si>
  <si>
    <t>G-22009</t>
  </si>
  <si>
    <t>G-22010</t>
  </si>
  <si>
    <t>Booked with Lee Coutney 4 &amp; 5th Sep</t>
  </si>
  <si>
    <t>G-21691</t>
  </si>
  <si>
    <t>Property has had a Leak, survey not to be conducted until issue resolved and the pavilion is accesible again</t>
  </si>
  <si>
    <t>G-18293 Iss 3</t>
  </si>
  <si>
    <t>G-22039</t>
  </si>
  <si>
    <t>G-21667</t>
  </si>
  <si>
    <t>Cupid Green Depot, Building D</t>
  </si>
  <si>
    <t>Cupid Green Depot, Building E</t>
  </si>
  <si>
    <t>Cupid Green Depot, Vehicle Wash</t>
  </si>
  <si>
    <t>Cupid Green Depot, Waste Yard</t>
  </si>
  <si>
    <t>G-22117</t>
  </si>
  <si>
    <t>G-22116</t>
  </si>
  <si>
    <t>G-22114</t>
  </si>
  <si>
    <t>G-22113</t>
  </si>
  <si>
    <t>G-22181</t>
  </si>
  <si>
    <t>G-22147</t>
  </si>
  <si>
    <t>G-22146</t>
  </si>
  <si>
    <t>Keys need to be located</t>
  </si>
  <si>
    <t>Emails sent, no response</t>
  </si>
  <si>
    <t>Unable to make contact to date:  Tina has now returned to work and provided contact details to make an appointment:  tina.ferris@dacorum.gov.uk: Tel - 07855 200562</t>
  </si>
  <si>
    <t>Little Hay Golf Complex</t>
  </si>
  <si>
    <t>HP3 0DT</t>
  </si>
  <si>
    <t>G-23387</t>
  </si>
  <si>
    <t>G-23181</t>
  </si>
  <si>
    <t>Left Message &amp; Sent email to Gearge Reid for access</t>
  </si>
  <si>
    <t>G-23025</t>
  </si>
  <si>
    <t>Subject to arson attack, not currently required</t>
  </si>
  <si>
    <t>Re-inspections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</si>
</sst>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00000000000"/>
  </numFmts>
  <fonts count="2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Kalinga"/>
      <family val="2"/>
    </font>
    <font>
      <b/>
      <u/>
      <sz val="8"/>
      <color rgb="FFFF0000"/>
      <name val="Kalinga"/>
      <family val="2"/>
    </font>
    <font>
      <sz val="8"/>
      <name val="Kalinga"/>
      <family val="2"/>
    </font>
    <font>
      <b/>
      <sz val="8"/>
      <name val="Kalinga"/>
      <family val="2"/>
    </font>
    <font>
      <b/>
      <sz val="8"/>
      <color rgb="FF000000"/>
      <name val="Kalinga"/>
      <family val="2"/>
    </font>
    <font>
      <sz val="20"/>
      <color rgb="FF000000"/>
      <name val="Kalinga"/>
      <family val="2"/>
    </font>
    <font>
      <sz val="8"/>
      <color rgb="FF222222"/>
      <name val="Kalinga"/>
      <family val="2"/>
    </font>
    <font>
      <sz val="10"/>
      <color theme="1"/>
      <name val="Open Sans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1"/>
    </font>
    <font>
      <sz val="8"/>
      <color theme="1"/>
      <name val="Kalinga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rgb="FFFF0000"/>
      <name val="Kaling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0" fontId="5" fillId="0" borderId="0"/>
    <xf numFmtId="0" fontId="13" fillId="0" borderId="0"/>
    <xf numFmtId="0" fontId="4" fillId="0" borderId="0"/>
    <xf numFmtId="44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174">
    <xf numFmtId="0" fontId="0" fillId="2" borderId="0" xfId="0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6" fillId="3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2" borderId="2" xfId="0" applyFill="1" applyBorder="1" applyAlignment="1">
      <alignment horizontal="left" vertical="top"/>
    </xf>
    <xf numFmtId="0" fontId="14" fillId="2" borderId="2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left" vertical="top" wrapText="1"/>
    </xf>
    <xf numFmtId="49" fontId="8" fillId="3" borderId="3" xfId="0" applyNumberFormat="1" applyFont="1" applyFill="1" applyBorder="1" applyAlignment="1">
      <alignment horizontal="left" vertical="top" wrapText="1"/>
    </xf>
    <xf numFmtId="14" fontId="6" fillId="3" borderId="2" xfId="0" applyNumberFormat="1" applyFont="1" applyFill="1" applyBorder="1" applyAlignment="1">
      <alignment horizontal="left" vertical="top"/>
    </xf>
    <xf numFmtId="14" fontId="8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top" wrapText="1"/>
    </xf>
    <xf numFmtId="14" fontId="6" fillId="3" borderId="1" xfId="0" applyNumberFormat="1" applyFont="1" applyFill="1" applyBorder="1" applyAlignment="1">
      <alignment horizontal="center"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top" wrapText="1"/>
    </xf>
    <xf numFmtId="49" fontId="8" fillId="4" borderId="3" xfId="0" applyNumberFormat="1" applyFont="1" applyFill="1" applyBorder="1" applyAlignment="1">
      <alignment horizontal="left" vertical="top" wrapText="1"/>
    </xf>
    <xf numFmtId="14" fontId="6" fillId="4" borderId="2" xfId="0" applyNumberFormat="1" applyFont="1" applyFill="1" applyBorder="1" applyAlignment="1">
      <alignment horizontal="left" vertical="top"/>
    </xf>
    <xf numFmtId="14" fontId="8" fillId="4" borderId="1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 vertical="top"/>
    </xf>
    <xf numFmtId="49" fontId="6" fillId="5" borderId="5" xfId="0" applyNumberFormat="1" applyFont="1" applyFill="1" applyBorder="1" applyAlignment="1">
      <alignment horizontal="left" vertical="top" wrapText="1"/>
    </xf>
    <xf numFmtId="14" fontId="6" fillId="5" borderId="2" xfId="0" applyNumberFormat="1" applyFont="1" applyFill="1" applyBorder="1" applyAlignment="1">
      <alignment horizontal="left" vertical="top"/>
    </xf>
    <xf numFmtId="14" fontId="6" fillId="5" borderId="1" xfId="0" applyNumberFormat="1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left" vertical="top" wrapText="1"/>
    </xf>
    <xf numFmtId="49" fontId="18" fillId="4" borderId="3" xfId="0" applyNumberFormat="1" applyFont="1" applyFill="1" applyBorder="1" applyAlignment="1">
      <alignment horizontal="left" vertical="top" wrapText="1"/>
    </xf>
    <xf numFmtId="14" fontId="18" fillId="4" borderId="2" xfId="0" applyNumberFormat="1" applyFont="1" applyFill="1" applyBorder="1" applyAlignment="1">
      <alignment horizontal="left" vertical="top"/>
    </xf>
    <xf numFmtId="14" fontId="18" fillId="4" borderId="1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top"/>
    </xf>
    <xf numFmtId="49" fontId="6" fillId="4" borderId="5" xfId="0" applyNumberFormat="1" applyFont="1" applyFill="1" applyBorder="1" applyAlignment="1">
      <alignment horizontal="left" vertical="top" wrapText="1"/>
    </xf>
    <xf numFmtId="14" fontId="6" fillId="4" borderId="1" xfId="0" applyNumberFormat="1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10" fillId="4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0" fillId="3" borderId="2" xfId="0" applyFill="1" applyBorder="1"/>
    <xf numFmtId="0" fontId="6" fillId="3" borderId="4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top" wrapText="1"/>
    </xf>
    <xf numFmtId="14" fontId="6" fillId="3" borderId="2" xfId="0" applyNumberFormat="1" applyFont="1" applyFill="1" applyBorder="1" applyAlignment="1">
      <alignment horizontal="center" vertical="top" wrapText="1"/>
    </xf>
    <xf numFmtId="49" fontId="10" fillId="3" borderId="2" xfId="0" applyNumberFormat="1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top"/>
    </xf>
    <xf numFmtId="49" fontId="6" fillId="3" borderId="6" xfId="0" applyNumberFormat="1" applyFont="1" applyFill="1" applyBorder="1" applyAlignment="1">
      <alignment horizontal="left" vertical="top" wrapText="1"/>
    </xf>
    <xf numFmtId="14" fontId="6" fillId="3" borderId="6" xfId="0" applyNumberFormat="1" applyFont="1" applyFill="1" applyBorder="1" applyAlignment="1">
      <alignment horizontal="left" vertical="top"/>
    </xf>
    <xf numFmtId="14" fontId="6" fillId="3" borderId="6" xfId="0" applyNumberFormat="1" applyFont="1" applyFill="1" applyBorder="1" applyAlignment="1">
      <alignment horizontal="center" vertical="top" wrapText="1"/>
    </xf>
    <xf numFmtId="0" fontId="0" fillId="3" borderId="6" xfId="0" applyFill="1" applyBorder="1" applyAlignment="1">
      <alignment horizontal="left" vertical="top"/>
    </xf>
    <xf numFmtId="0" fontId="14" fillId="5" borderId="2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 wrapText="1"/>
    </xf>
    <xf numFmtId="16" fontId="6" fillId="3" borderId="3" xfId="0" applyNumberFormat="1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left" vertical="top"/>
    </xf>
    <xf numFmtId="0" fontId="21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13" fillId="3" borderId="2" xfId="2" applyFill="1" applyBorder="1" applyAlignment="1">
      <alignment wrapText="1"/>
    </xf>
    <xf numFmtId="0" fontId="14" fillId="3" borderId="2" xfId="0" applyFont="1" applyFill="1" applyBorder="1"/>
    <xf numFmtId="0" fontId="0" fillId="3" borderId="2" xfId="0" applyFill="1" applyBorder="1" applyAlignment="1">
      <alignment wrapText="1"/>
    </xf>
    <xf numFmtId="0" fontId="20" fillId="3" borderId="2" xfId="0" applyFont="1" applyFill="1" applyBorder="1"/>
    <xf numFmtId="0" fontId="22" fillId="3" borderId="2" xfId="0" applyFont="1" applyFill="1" applyBorder="1" applyAlignment="1">
      <alignment wrapText="1"/>
    </xf>
    <xf numFmtId="14" fontId="6" fillId="4" borderId="2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49" fontId="8" fillId="6" borderId="3" xfId="0" applyNumberFormat="1" applyFont="1" applyFill="1" applyBorder="1" applyAlignment="1">
      <alignment horizontal="left" vertical="top" wrapText="1"/>
    </xf>
    <xf numFmtId="14" fontId="6" fillId="6" borderId="2" xfId="0" applyNumberFormat="1" applyFont="1" applyFill="1" applyBorder="1" applyAlignment="1">
      <alignment horizontal="left" vertical="top"/>
    </xf>
    <xf numFmtId="14" fontId="8" fillId="6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top"/>
    </xf>
    <xf numFmtId="14" fontId="6" fillId="4" borderId="2" xfId="0" applyNumberFormat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horizontal="left" vertical="top" wrapText="1"/>
    </xf>
    <xf numFmtId="49" fontId="8" fillId="4" borderId="4" xfId="0" applyNumberFormat="1" applyFont="1" applyFill="1" applyBorder="1" applyAlignment="1">
      <alignment horizontal="left" vertical="top" wrapText="1"/>
    </xf>
    <xf numFmtId="49" fontId="8" fillId="3" borderId="7" xfId="0" applyNumberFormat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top" wrapText="1"/>
    </xf>
    <xf numFmtId="49" fontId="8" fillId="5" borderId="3" xfId="0" applyNumberFormat="1" applyFont="1" applyFill="1" applyBorder="1" applyAlignment="1">
      <alignment horizontal="left" vertical="top" wrapText="1"/>
    </xf>
    <xf numFmtId="14" fontId="8" fillId="5" borderId="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0" fontId="10" fillId="3" borderId="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top" wrapText="1"/>
    </xf>
    <xf numFmtId="0" fontId="20" fillId="3" borderId="2" xfId="0" applyFont="1" applyFill="1" applyBorder="1" applyAlignment="1">
      <alignment horizontal="left" vertical="top"/>
    </xf>
    <xf numFmtId="0" fontId="8" fillId="3" borderId="5" xfId="0" applyFont="1" applyFill="1" applyBorder="1" applyAlignment="1">
      <alignment horizontal="left" vertical="top"/>
    </xf>
    <xf numFmtId="0" fontId="18" fillId="3" borderId="5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left" vertical="top" wrapText="1"/>
    </xf>
    <xf numFmtId="49" fontId="18" fillId="3" borderId="3" xfId="0" applyNumberFormat="1" applyFont="1" applyFill="1" applyBorder="1" applyAlignment="1">
      <alignment horizontal="left" vertical="top" wrapText="1"/>
    </xf>
    <xf numFmtId="14" fontId="18" fillId="3" borderId="2" xfId="0" applyNumberFormat="1" applyFont="1" applyFill="1" applyBorder="1" applyAlignment="1">
      <alignment horizontal="left" vertical="top"/>
    </xf>
    <xf numFmtId="0" fontId="19" fillId="3" borderId="2" xfId="0" applyFont="1" applyFill="1" applyBorder="1" applyAlignment="1">
      <alignment horizontal="left" vertical="top"/>
    </xf>
    <xf numFmtId="14" fontId="6" fillId="3" borderId="2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14" fontId="8" fillId="3" borderId="5" xfId="0" applyNumberFormat="1" applyFont="1" applyFill="1" applyBorder="1" applyAlignment="1">
      <alignment horizontal="center" vertical="center"/>
    </xf>
    <xf numFmtId="14" fontId="18" fillId="3" borderId="5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top" wrapText="1"/>
    </xf>
    <xf numFmtId="49" fontId="8" fillId="3" borderId="2" xfId="0" applyNumberFormat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/>
    </xf>
  </cellXfs>
  <cellStyles count="11">
    <cellStyle name="Currency 2" xfId="4" xr:uid="{395C2F25-33CD-42D4-8069-ABAA0CEE1C7E}"/>
    <cellStyle name="Currency 3" xfId="7" xr:uid="{14F94593-5080-4828-B2D2-5A9F2DFF4B9A}"/>
    <cellStyle name="Currency 4" xfId="9" xr:uid="{9C8284E7-FE25-4153-97E2-19006DC1F6DB}"/>
    <cellStyle name="Hyperlink 2" xfId="5" xr:uid="{1C12B795-8288-4757-96F9-D336D8750CE4}"/>
    <cellStyle name="Normal" xfId="0" builtinId="0"/>
    <cellStyle name="Normal 2" xfId="1" xr:uid="{22899CBA-9898-48F1-B6A9-E22DEC386D98}"/>
    <cellStyle name="Normal 3" xfId="2" xr:uid="{D0ECB581-888C-4863-AA67-AF84218EC0A7}"/>
    <cellStyle name="Normal 4" xfId="3" xr:uid="{EFC6B803-AD51-41EB-9F27-8BB2E268CC49}"/>
    <cellStyle name="Normal 5" xfId="6" xr:uid="{0FDFC12F-F2F9-4EE1-8D0A-5E359393B4E3}"/>
    <cellStyle name="Normal 6" xfId="8" xr:uid="{0037A02E-40F8-4531-A9DE-1D8DB4AE233A}"/>
    <cellStyle name="Normal 7" xfId="10" xr:uid="{A31A63E2-55D9-4874-9A78-E0C596FE6253}"/>
  </cellStyles>
  <dxfs count="18">
    <dxf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Kaling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54583-3577-48E1-9347-7D081E1F7D83}" name="Table2" displayName="Table2" ref="A1:O52" totalsRowShown="0" headerRowDxfId="17" dataDxfId="16" tableBorderDxfId="15">
  <autoFilter ref="A1:O52" xr:uid="{F6B54583-3577-48E1-9347-7D081E1F7D83}"/>
  <sortState xmlns:xlrd2="http://schemas.microsoft.com/office/spreadsheetml/2017/richdata2" ref="A2:O52">
    <sortCondition ref="A1:A52"/>
  </sortState>
  <tableColumns count="15">
    <tableColumn id="1" xr3:uid="{63056074-2CDF-4D88-BD53-E9CD8770960A}" name="Job Number" dataDxfId="14"/>
    <tableColumn id="2" xr3:uid="{AB7D64FA-0637-4440-B5FF-CA8CB2122B1C}" name="Name" dataDxfId="13"/>
    <tableColumn id="3" xr3:uid="{074B606B-F0CA-4C71-B3F6-D9620E986BE0}" name="Requestee" dataDxfId="12"/>
    <tableColumn id="4" xr3:uid="{441A9AE4-BC1C-4D0C-9DB6-3D19427D8B56}" name="Work Type" dataDxfId="11"/>
    <tableColumn id="5" xr3:uid="{D48D3808-4217-4AD8-839F-30F395913625}" name="UPRN" dataDxfId="10"/>
    <tableColumn id="6" xr3:uid="{20516F45-DC25-40CD-8F12-B2F1F619A216}" name="Address" dataDxfId="9"/>
    <tableColumn id="7" xr3:uid="{6C2948E8-097D-4897-BA7F-18665D30A561}" name="Post Code" dataDxfId="8"/>
    <tableColumn id="8" xr3:uid="{45F156EF-2771-4211-AF24-FA578EC30C0D}" name="NOTES / MISSED APPTS" dataDxfId="7"/>
    <tableColumn id="9" xr3:uid="{B50E0F72-0B19-48E3-821E-81B42A19FBDB}" name="Letter Sent" dataDxfId="6"/>
    <tableColumn id="10" xr3:uid="{52E7E1CB-2DAD-4DAF-8F82-B542CAC03417}" name="Access Issues" dataDxfId="5"/>
    <tableColumn id="11" xr3:uid="{6262CB48-D1A5-40A9-B585-ECF83228DDE9}" name="Date Received" dataDxfId="4"/>
    <tableColumn id="12" xr3:uid="{F04428D1-E5E3-4FC3-B069-C03F1A36BCBA}" name="Date_x000a_Surveyed" dataDxfId="3"/>
    <tableColumn id="13" xr3:uid="{C47E8588-816B-4CE9-B3AC-D3221D2F4591}" name="Due Date" dataDxfId="2"/>
    <tableColumn id="14" xr3:uid="{C8EF6575-E7B7-4725-AA5C-4F39AD1BAC15}" name="Survey Sent" dataDxfId="1"/>
    <tableColumn id="15" xr3:uid="{3EE2E037-1424-44C3-AA91-966A2FF51D89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416B-CDD4-44AF-B845-D4604A2D3542}">
  <dimension ref="A1:A4"/>
  <sheetViews>
    <sheetView workbookViewId="0"/>
    <sheetView workbookViewId="1"/>
  </sheetViews>
  <sheetFormatPr defaultRowHeight="12.75" x14ac:dyDescent="0.2"/>
  <sheetData>
    <row r="1" spans="1:1" x14ac:dyDescent="0.2">
      <c r="A1" s="27" t="s">
        <v>6</v>
      </c>
    </row>
    <row r="2" spans="1:1" x14ac:dyDescent="0.2">
      <c r="A2" s="27" t="s">
        <v>24</v>
      </c>
    </row>
    <row r="3" spans="1:1" x14ac:dyDescent="0.2">
      <c r="A3" s="27" t="s">
        <v>26</v>
      </c>
    </row>
    <row r="4" spans="1:1" x14ac:dyDescent="0.2">
      <c r="A4" s="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43DA-3016-4A5E-BD4F-F4838D8BD91A}">
  <dimension ref="D1:G16"/>
  <sheetViews>
    <sheetView workbookViewId="0">
      <selection activeCell="G11" sqref="G11"/>
    </sheetView>
    <sheetView workbookViewId="1"/>
  </sheetViews>
  <sheetFormatPr defaultRowHeight="12.75" x14ac:dyDescent="0.2"/>
  <cols>
    <col min="4" max="4" width="19.33203125" customWidth="1"/>
    <col min="5" max="5" width="20.83203125" customWidth="1"/>
    <col min="6" max="6" width="15.5" customWidth="1"/>
    <col min="7" max="7" width="18.5" customWidth="1"/>
  </cols>
  <sheetData>
    <row r="1" spans="4:7" ht="21.95" customHeight="1" x14ac:dyDescent="0.2">
      <c r="D1" s="14"/>
      <c r="E1" s="14" t="s">
        <v>175</v>
      </c>
      <c r="F1" s="15"/>
    </row>
    <row r="2" spans="4:7" ht="21.95" customHeight="1" x14ac:dyDescent="0.2">
      <c r="D2" s="16"/>
      <c r="E2" s="15"/>
      <c r="F2" s="15"/>
    </row>
    <row r="3" spans="4:7" ht="21.95" customHeight="1" x14ac:dyDescent="0.2">
      <c r="D3" s="17" t="s">
        <v>173</v>
      </c>
      <c r="E3" s="17"/>
      <c r="F3" s="17"/>
    </row>
    <row r="4" spans="4:7" ht="21.95" customHeight="1" x14ac:dyDescent="0.2">
      <c r="D4" s="18" t="s">
        <v>174</v>
      </c>
      <c r="E4" s="19"/>
      <c r="F4" s="19"/>
    </row>
    <row r="5" spans="4:7" ht="21.95" customHeight="1" x14ac:dyDescent="0.2">
      <c r="D5" s="20" t="s">
        <v>10</v>
      </c>
      <c r="E5" s="21"/>
      <c r="F5" s="21"/>
    </row>
    <row r="6" spans="4:7" ht="21.95" customHeight="1" x14ac:dyDescent="0.2">
      <c r="D6" s="22" t="s">
        <v>7</v>
      </c>
      <c r="E6" s="23"/>
      <c r="F6" s="23"/>
    </row>
    <row r="10" spans="4:7" x14ac:dyDescent="0.2">
      <c r="D10" s="24"/>
      <c r="E10" s="24" t="s">
        <v>40</v>
      </c>
      <c r="F10" s="25" t="s">
        <v>41</v>
      </c>
      <c r="G10" s="25" t="s">
        <v>170</v>
      </c>
    </row>
    <row r="11" spans="4:7" x14ac:dyDescent="0.2">
      <c r="D11" s="24" t="s">
        <v>23</v>
      </c>
      <c r="E11" s="24">
        <f>COUNTA('Management Survey'!F2:F100)</f>
        <v>85</v>
      </c>
      <c r="F11" s="24">
        <f>COUNTA('ASR1 Requests'!G2:G85)</f>
        <v>12</v>
      </c>
      <c r="G11" s="24">
        <f>COUNTA('Re-Inspections 26'!A2:A100)</f>
        <v>51</v>
      </c>
    </row>
    <row r="12" spans="4:7" x14ac:dyDescent="0.2">
      <c r="D12" s="24" t="s">
        <v>24</v>
      </c>
      <c r="E12" s="24">
        <f>COUNTIF('Management Survey'!P2:P100,"complete")</f>
        <v>0</v>
      </c>
      <c r="F12" s="24">
        <f>COUNTIF('ASR1 Requests'!Q2:Q85,"complete")</f>
        <v>10</v>
      </c>
      <c r="G12" s="24">
        <f>COUNTA('Re-Inspections 26'!O2:O100)</f>
        <v>0</v>
      </c>
    </row>
    <row r="13" spans="4:7" x14ac:dyDescent="0.2">
      <c r="D13" s="25" t="s">
        <v>25</v>
      </c>
      <c r="E13" s="24">
        <f>COUNTBLANK('Management Survey'!O2:O86)</f>
        <v>0</v>
      </c>
      <c r="F13" s="24">
        <f>COUNTBLANK('ASR1 Requests'!Q2:Q13)</f>
        <v>0</v>
      </c>
      <c r="G13" s="24">
        <v>0</v>
      </c>
    </row>
    <row r="14" spans="4:7" x14ac:dyDescent="0.2">
      <c r="D14" s="25" t="s">
        <v>6</v>
      </c>
      <c r="E14" s="24">
        <f>COUNTIF('Management Survey'!P2:P100,"booked")</f>
        <v>0</v>
      </c>
      <c r="F14" s="24">
        <f>COUNTIF('ASR1 Requests'!Q2:Q85,"booked")</f>
        <v>0</v>
      </c>
      <c r="G14" s="24">
        <v>0</v>
      </c>
    </row>
    <row r="15" spans="4:7" x14ac:dyDescent="0.2">
      <c r="D15" s="24" t="s">
        <v>26</v>
      </c>
      <c r="E15" s="24">
        <f>COUNTIF('Management Survey'!P2:P100,"cancelled")</f>
        <v>0</v>
      </c>
      <c r="F15" s="24">
        <f>COUNTIF('ASR1 Requests'!Q2:Q85,"cancelled")</f>
        <v>2</v>
      </c>
      <c r="G15" s="24">
        <v>0</v>
      </c>
    </row>
    <row r="16" spans="4:7" x14ac:dyDescent="0.2">
      <c r="D16" s="24" t="s">
        <v>27</v>
      </c>
      <c r="E16" s="24">
        <f>COUNTIF('Management Survey'!P2:P100,"need assistance")</f>
        <v>0</v>
      </c>
      <c r="F16" s="24">
        <f>COUNTIF('ASR1 Requests'!Q2:Q85,"need assistance")</f>
        <v>0</v>
      </c>
      <c r="G16" s="24">
        <v>0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7359-8D36-416D-911B-0CE1A68A176F}">
  <sheetPr filterMode="1">
    <pageSetUpPr fitToPage="1"/>
  </sheetPr>
  <dimension ref="A1:Q100"/>
  <sheetViews>
    <sheetView zoomScale="70" zoomScaleNormal="70" workbookViewId="0">
      <selection activeCell="C5" sqref="C5"/>
    </sheetView>
    <sheetView workbookViewId="1"/>
  </sheetViews>
  <sheetFormatPr defaultRowHeight="12.75" x14ac:dyDescent="0.2"/>
  <cols>
    <col min="1" max="1" width="19.1640625" customWidth="1"/>
    <col min="2" max="2" width="10.6640625" customWidth="1"/>
    <col min="3" max="3" width="18.1640625" customWidth="1"/>
    <col min="4" max="4" width="18.5" customWidth="1"/>
    <col min="5" max="5" width="18.5" style="11" customWidth="1"/>
    <col min="6" max="6" width="29" customWidth="1"/>
    <col min="7" max="7" width="12.6640625" customWidth="1"/>
    <col min="8" max="8" width="31.5" style="1" customWidth="1"/>
    <col min="10" max="10" width="30.5" style="1" customWidth="1"/>
    <col min="11" max="11" width="14" style="1" customWidth="1"/>
    <col min="12" max="12" width="12" style="11" customWidth="1"/>
    <col min="13" max="13" width="14" style="1" customWidth="1"/>
    <col min="14" max="15" width="14.1640625" style="1" customWidth="1"/>
    <col min="16" max="16" width="22" bestFit="1" customWidth="1"/>
  </cols>
  <sheetData>
    <row r="1" spans="1:17" ht="25.5" x14ac:dyDescent="0.2">
      <c r="A1" s="3" t="s">
        <v>5</v>
      </c>
      <c r="B1" s="2" t="s">
        <v>0</v>
      </c>
      <c r="C1" s="5" t="s">
        <v>15</v>
      </c>
      <c r="D1" s="4" t="s">
        <v>14</v>
      </c>
      <c r="E1" s="4" t="s">
        <v>21</v>
      </c>
      <c r="F1" s="2" t="s">
        <v>1</v>
      </c>
      <c r="G1" s="2" t="s">
        <v>2</v>
      </c>
      <c r="H1" s="2" t="s">
        <v>4</v>
      </c>
      <c r="I1" s="5" t="s">
        <v>9</v>
      </c>
      <c r="J1" s="9" t="s">
        <v>17</v>
      </c>
      <c r="K1" s="10" t="s">
        <v>18</v>
      </c>
      <c r="L1" s="2" t="s">
        <v>8</v>
      </c>
      <c r="M1" s="10" t="s">
        <v>12</v>
      </c>
      <c r="N1" s="10" t="s">
        <v>19</v>
      </c>
      <c r="O1" s="25" t="s">
        <v>28</v>
      </c>
      <c r="P1" s="24" t="s">
        <v>316</v>
      </c>
    </row>
    <row r="2" spans="1:17" s="7" customFormat="1" ht="25.5" customHeight="1" x14ac:dyDescent="0.2">
      <c r="A2" s="39" t="s">
        <v>125</v>
      </c>
      <c r="B2" s="40"/>
      <c r="C2" s="40" t="s">
        <v>38</v>
      </c>
      <c r="D2" s="41" t="s">
        <v>32</v>
      </c>
      <c r="E2" s="42"/>
      <c r="F2" s="41" t="s">
        <v>42</v>
      </c>
      <c r="G2" s="40" t="s">
        <v>43</v>
      </c>
      <c r="H2" s="43" t="s">
        <v>44</v>
      </c>
      <c r="I2" s="40"/>
      <c r="J2" s="44"/>
      <c r="K2" s="45"/>
      <c r="L2" s="46">
        <v>45602</v>
      </c>
      <c r="M2" s="45"/>
      <c r="N2" s="110">
        <v>45625</v>
      </c>
      <c r="O2" s="47" t="s">
        <v>24</v>
      </c>
      <c r="P2" s="146"/>
    </row>
    <row r="3" spans="1:17" s="7" customFormat="1" ht="96.75" customHeight="1" x14ac:dyDescent="0.2">
      <c r="A3" s="39" t="s">
        <v>126</v>
      </c>
      <c r="B3" s="40"/>
      <c r="C3" s="40" t="s">
        <v>38</v>
      </c>
      <c r="D3" s="41" t="s">
        <v>32</v>
      </c>
      <c r="E3" s="42"/>
      <c r="F3" s="41" t="s">
        <v>45</v>
      </c>
      <c r="G3" s="40" t="s">
        <v>46</v>
      </c>
      <c r="H3" s="43" t="s">
        <v>44</v>
      </c>
      <c r="I3" s="40"/>
      <c r="J3" s="44" t="s">
        <v>276</v>
      </c>
      <c r="K3" s="45"/>
      <c r="L3" s="46">
        <v>45511</v>
      </c>
      <c r="M3" s="45"/>
      <c r="N3" s="45">
        <v>45889</v>
      </c>
      <c r="O3" s="47" t="s">
        <v>24</v>
      </c>
      <c r="P3" s="146" t="str">
        <f>IFERROR(VLOOKUP(A3,#REF!, 2, FALSE), "")</f>
        <v/>
      </c>
    </row>
    <row r="4" spans="1:17" s="7" customFormat="1" ht="25.5" customHeight="1" x14ac:dyDescent="0.2">
      <c r="A4" s="39" t="s">
        <v>127</v>
      </c>
      <c r="B4" s="40"/>
      <c r="C4" s="40" t="s">
        <v>38</v>
      </c>
      <c r="D4" s="41" t="s">
        <v>32</v>
      </c>
      <c r="E4" s="42"/>
      <c r="F4" s="41" t="s">
        <v>47</v>
      </c>
      <c r="G4" s="40" t="s">
        <v>29</v>
      </c>
      <c r="H4" s="43" t="s">
        <v>44</v>
      </c>
      <c r="I4" s="40"/>
      <c r="J4" s="44" t="s">
        <v>184</v>
      </c>
      <c r="K4" s="45"/>
      <c r="L4" s="46" t="s">
        <v>172</v>
      </c>
      <c r="M4" s="45"/>
      <c r="N4" s="45">
        <v>45776</v>
      </c>
      <c r="O4" s="47" t="s">
        <v>24</v>
      </c>
      <c r="P4" s="146" t="str">
        <f>IFERROR(VLOOKUP(A4,#REF!, 2, FALSE), "")</f>
        <v/>
      </c>
    </row>
    <row r="5" spans="1:17" ht="25.5" customHeight="1" x14ac:dyDescent="0.2">
      <c r="A5" s="39" t="s">
        <v>128</v>
      </c>
      <c r="B5" s="40"/>
      <c r="C5" s="40" t="s">
        <v>38</v>
      </c>
      <c r="D5" s="41" t="s">
        <v>32</v>
      </c>
      <c r="E5" s="42"/>
      <c r="F5" s="41" t="s">
        <v>48</v>
      </c>
      <c r="G5" s="40" t="s">
        <v>49</v>
      </c>
      <c r="H5" s="43" t="s">
        <v>44</v>
      </c>
      <c r="I5" s="40"/>
      <c r="J5" s="44"/>
      <c r="K5" s="45"/>
      <c r="L5" s="46">
        <v>45593</v>
      </c>
      <c r="M5" s="45"/>
      <c r="N5" s="45">
        <v>45623</v>
      </c>
      <c r="O5" s="47" t="s">
        <v>24</v>
      </c>
      <c r="P5" s="146" t="str">
        <f>IFERROR(VLOOKUP(A5,#REF!, 2, FALSE), "")</f>
        <v/>
      </c>
      <c r="Q5" s="7"/>
    </row>
    <row r="6" spans="1:17" ht="25.5" customHeight="1" x14ac:dyDescent="0.2">
      <c r="A6" s="39" t="s">
        <v>176</v>
      </c>
      <c r="B6" s="40"/>
      <c r="C6" s="40" t="s">
        <v>38</v>
      </c>
      <c r="D6" s="41" t="s">
        <v>32</v>
      </c>
      <c r="E6" s="42"/>
      <c r="F6" s="41" t="s">
        <v>50</v>
      </c>
      <c r="G6" s="40" t="s">
        <v>51</v>
      </c>
      <c r="H6" s="43" t="s">
        <v>44</v>
      </c>
      <c r="I6" s="40"/>
      <c r="J6" s="44"/>
      <c r="K6" s="45"/>
      <c r="L6" s="46">
        <v>45691</v>
      </c>
      <c r="M6" s="45"/>
      <c r="N6" s="45">
        <v>45714</v>
      </c>
      <c r="O6" s="47" t="s">
        <v>24</v>
      </c>
      <c r="P6" s="146" t="str">
        <f>IFERROR(VLOOKUP(A6,#REF!, 2, FALSE), "")</f>
        <v/>
      </c>
      <c r="Q6" s="7"/>
    </row>
    <row r="7" spans="1:17" ht="25.5" customHeight="1" x14ac:dyDescent="0.2">
      <c r="A7" s="39" t="s">
        <v>129</v>
      </c>
      <c r="B7" s="40"/>
      <c r="C7" s="43" t="s">
        <v>38</v>
      </c>
      <c r="D7" s="43" t="s">
        <v>32</v>
      </c>
      <c r="E7" s="43"/>
      <c r="F7" s="43" t="s">
        <v>52</v>
      </c>
      <c r="G7" s="43" t="s">
        <v>53</v>
      </c>
      <c r="H7" s="43" t="s">
        <v>44</v>
      </c>
      <c r="I7" s="40"/>
      <c r="J7" s="44"/>
      <c r="K7" s="45"/>
      <c r="L7" s="46">
        <v>45601</v>
      </c>
      <c r="M7" s="45"/>
      <c r="N7" s="45">
        <v>45624</v>
      </c>
      <c r="O7" s="47" t="s">
        <v>24</v>
      </c>
      <c r="P7" s="146" t="str">
        <f>IFERROR(VLOOKUP(A7,#REF!, 2, FALSE), "")</f>
        <v/>
      </c>
      <c r="Q7" s="7"/>
    </row>
    <row r="8" spans="1:17" ht="25.5" customHeight="1" x14ac:dyDescent="0.2">
      <c r="A8" s="39" t="s">
        <v>130</v>
      </c>
      <c r="B8" s="40"/>
      <c r="C8" s="40" t="s">
        <v>38</v>
      </c>
      <c r="D8" s="41" t="s">
        <v>32</v>
      </c>
      <c r="E8" s="42"/>
      <c r="F8" s="41" t="s">
        <v>54</v>
      </c>
      <c r="G8" s="40" t="s">
        <v>55</v>
      </c>
      <c r="H8" s="43" t="s">
        <v>44</v>
      </c>
      <c r="I8" s="40"/>
      <c r="J8" s="44"/>
      <c r="K8" s="45"/>
      <c r="L8" s="46">
        <v>45604</v>
      </c>
      <c r="M8" s="45"/>
      <c r="N8" s="45">
        <v>45616</v>
      </c>
      <c r="O8" s="47" t="s">
        <v>24</v>
      </c>
      <c r="P8" s="146" t="str">
        <f>IFERROR(VLOOKUP(A8,#REF!, 2, FALSE), "")</f>
        <v/>
      </c>
      <c r="Q8" s="7"/>
    </row>
    <row r="9" spans="1:17" ht="25.5" customHeight="1" x14ac:dyDescent="0.2">
      <c r="A9" s="39" t="s">
        <v>131</v>
      </c>
      <c r="B9" s="40"/>
      <c r="C9" s="40" t="s">
        <v>38</v>
      </c>
      <c r="D9" s="41" t="s">
        <v>32</v>
      </c>
      <c r="E9" s="42"/>
      <c r="F9" s="41" t="s">
        <v>56</v>
      </c>
      <c r="G9" s="40" t="s">
        <v>34</v>
      </c>
      <c r="H9" s="43" t="s">
        <v>44</v>
      </c>
      <c r="I9" s="40"/>
      <c r="J9" s="44"/>
      <c r="K9" s="45"/>
      <c r="L9" s="46">
        <v>45631</v>
      </c>
      <c r="M9" s="45"/>
      <c r="N9" s="45">
        <v>45643</v>
      </c>
      <c r="O9" s="47" t="s">
        <v>24</v>
      </c>
      <c r="P9" s="146" t="str">
        <f>IFERROR(VLOOKUP(A9,#REF!, 2, FALSE), "")</f>
        <v/>
      </c>
      <c r="Q9" s="7"/>
    </row>
    <row r="10" spans="1:17" ht="60.75" customHeight="1" x14ac:dyDescent="0.2">
      <c r="A10" s="57" t="s">
        <v>132</v>
      </c>
      <c r="B10" s="58"/>
      <c r="C10" s="58" t="s">
        <v>38</v>
      </c>
      <c r="D10" s="58" t="s">
        <v>32</v>
      </c>
      <c r="E10" s="59"/>
      <c r="F10" s="58" t="s">
        <v>57</v>
      </c>
      <c r="G10" s="58" t="s">
        <v>35</v>
      </c>
      <c r="H10" s="60" t="s">
        <v>44</v>
      </c>
      <c r="I10" s="58"/>
      <c r="J10" s="61"/>
      <c r="K10" s="62"/>
      <c r="L10" s="63">
        <v>45601</v>
      </c>
      <c r="M10" s="62"/>
      <c r="N10" s="62">
        <v>45614</v>
      </c>
      <c r="O10" s="64" t="s">
        <v>24</v>
      </c>
      <c r="P10" s="146" t="str">
        <f>IFERROR(VLOOKUP(A10,#REF!, 2, FALSE), "")</f>
        <v/>
      </c>
      <c r="Q10" s="7"/>
    </row>
    <row r="11" spans="1:17" ht="25.5" customHeight="1" x14ac:dyDescent="0.2">
      <c r="A11" s="39" t="s">
        <v>133</v>
      </c>
      <c r="B11" s="40"/>
      <c r="C11" s="40" t="s">
        <v>38</v>
      </c>
      <c r="D11" s="41" t="s">
        <v>32</v>
      </c>
      <c r="E11" s="42"/>
      <c r="F11" s="41" t="s">
        <v>58</v>
      </c>
      <c r="G11" s="40" t="s">
        <v>35</v>
      </c>
      <c r="H11" s="43" t="s">
        <v>44</v>
      </c>
      <c r="I11" s="40"/>
      <c r="J11" s="44"/>
      <c r="K11" s="45"/>
      <c r="L11" s="46">
        <v>45692</v>
      </c>
      <c r="M11" s="45"/>
      <c r="N11" s="45">
        <v>45707</v>
      </c>
      <c r="O11" s="47" t="s">
        <v>24</v>
      </c>
      <c r="P11" s="146" t="str">
        <f>IFERROR(VLOOKUP(A11,#REF!, 2, FALSE), "")</f>
        <v/>
      </c>
      <c r="Q11" s="7"/>
    </row>
    <row r="12" spans="1:17" ht="25.5" customHeight="1" x14ac:dyDescent="0.2">
      <c r="A12" s="39" t="s">
        <v>134</v>
      </c>
      <c r="B12" s="40"/>
      <c r="C12" s="40" t="s">
        <v>38</v>
      </c>
      <c r="D12" s="41" t="s">
        <v>32</v>
      </c>
      <c r="E12" s="42"/>
      <c r="F12" s="41" t="s">
        <v>59</v>
      </c>
      <c r="G12" s="40" t="s">
        <v>60</v>
      </c>
      <c r="H12" s="43" t="s">
        <v>44</v>
      </c>
      <c r="I12" s="40"/>
      <c r="J12" s="44"/>
      <c r="K12" s="45"/>
      <c r="L12" s="46">
        <v>45603</v>
      </c>
      <c r="M12" s="45"/>
      <c r="N12" s="45">
        <v>45615</v>
      </c>
      <c r="O12" s="47" t="s">
        <v>24</v>
      </c>
      <c r="P12" s="146" t="str">
        <f>IFERROR(VLOOKUP(A12,#REF!, 2, FALSE), "")</f>
        <v/>
      </c>
      <c r="Q12" s="7"/>
    </row>
    <row r="13" spans="1:17" ht="25.5" customHeight="1" x14ac:dyDescent="0.2">
      <c r="A13" s="39" t="s">
        <v>135</v>
      </c>
      <c r="B13" s="40"/>
      <c r="C13" s="40" t="s">
        <v>38</v>
      </c>
      <c r="D13" s="41" t="s">
        <v>32</v>
      </c>
      <c r="E13" s="42"/>
      <c r="F13" s="41" t="s">
        <v>61</v>
      </c>
      <c r="G13" s="40" t="s">
        <v>60</v>
      </c>
      <c r="H13" s="43" t="s">
        <v>44</v>
      </c>
      <c r="I13" s="40"/>
      <c r="J13" s="44"/>
      <c r="K13" s="45"/>
      <c r="L13" s="46">
        <v>45602</v>
      </c>
      <c r="M13" s="45"/>
      <c r="N13" s="45">
        <v>45616</v>
      </c>
      <c r="O13" s="47" t="s">
        <v>24</v>
      </c>
      <c r="P13" s="146" t="str">
        <f>IFERROR(VLOOKUP(A13,#REF!, 2, FALSE), "")</f>
        <v/>
      </c>
      <c r="Q13" s="7"/>
    </row>
    <row r="14" spans="1:17" ht="66.75" customHeight="1" x14ac:dyDescent="0.2">
      <c r="A14" s="39" t="s">
        <v>136</v>
      </c>
      <c r="B14" s="40"/>
      <c r="C14" s="40" t="s">
        <v>38</v>
      </c>
      <c r="D14" s="41" t="s">
        <v>32</v>
      </c>
      <c r="E14" s="42"/>
      <c r="F14" s="41" t="s">
        <v>62</v>
      </c>
      <c r="G14" s="40" t="s">
        <v>63</v>
      </c>
      <c r="H14" s="43" t="s">
        <v>44</v>
      </c>
      <c r="I14" s="40"/>
      <c r="J14" s="44"/>
      <c r="K14" s="45"/>
      <c r="L14" s="46">
        <v>45597</v>
      </c>
      <c r="M14" s="45"/>
      <c r="N14" s="45">
        <v>45618</v>
      </c>
      <c r="O14" s="47" t="s">
        <v>24</v>
      </c>
      <c r="P14" s="146" t="str">
        <f>IFERROR(VLOOKUP(A14,#REF!, 2, FALSE), "")</f>
        <v/>
      </c>
      <c r="Q14" s="7"/>
    </row>
    <row r="15" spans="1:17" ht="25.5" customHeight="1" x14ac:dyDescent="0.2">
      <c r="A15" s="39" t="s">
        <v>137</v>
      </c>
      <c r="B15" s="40"/>
      <c r="C15" s="40" t="s">
        <v>38</v>
      </c>
      <c r="D15" s="41" t="s">
        <v>32</v>
      </c>
      <c r="E15" s="42"/>
      <c r="F15" s="41" t="s">
        <v>64</v>
      </c>
      <c r="G15" s="40" t="s">
        <v>65</v>
      </c>
      <c r="H15" s="43" t="s">
        <v>44</v>
      </c>
      <c r="I15" s="40"/>
      <c r="J15" s="44"/>
      <c r="K15" s="45"/>
      <c r="L15" s="46">
        <v>45597</v>
      </c>
      <c r="M15" s="45"/>
      <c r="N15" s="45">
        <v>45615</v>
      </c>
      <c r="O15" s="47" t="s">
        <v>24</v>
      </c>
      <c r="P15" s="146" t="str">
        <f>IFERROR(VLOOKUP(A15,#REF!, 2, FALSE), "")</f>
        <v/>
      </c>
      <c r="Q15" s="7"/>
    </row>
    <row r="16" spans="1:17" ht="25.5" customHeight="1" x14ac:dyDescent="0.2">
      <c r="A16" s="39" t="s">
        <v>138</v>
      </c>
      <c r="B16" s="40"/>
      <c r="C16" s="40" t="s">
        <v>38</v>
      </c>
      <c r="D16" s="41" t="s">
        <v>32</v>
      </c>
      <c r="E16" s="42"/>
      <c r="F16" s="41" t="s">
        <v>66</v>
      </c>
      <c r="G16" s="40" t="s">
        <v>67</v>
      </c>
      <c r="H16" s="43" t="s">
        <v>44</v>
      </c>
      <c r="I16" s="40"/>
      <c r="J16" s="44"/>
      <c r="K16" s="45"/>
      <c r="L16" s="46">
        <v>45594</v>
      </c>
      <c r="M16" s="45"/>
      <c r="N16" s="45">
        <v>45606</v>
      </c>
      <c r="O16" s="47" t="s">
        <v>24</v>
      </c>
      <c r="P16" s="146" t="str">
        <f>IFERROR(VLOOKUP(A16,#REF!, 2, FALSE), "")</f>
        <v/>
      </c>
      <c r="Q16" s="7"/>
    </row>
    <row r="17" spans="1:17" x14ac:dyDescent="0.2">
      <c r="A17" s="39" t="s">
        <v>139</v>
      </c>
      <c r="B17" s="40"/>
      <c r="C17" s="40" t="s">
        <v>38</v>
      </c>
      <c r="D17" s="41" t="s">
        <v>32</v>
      </c>
      <c r="E17" s="42"/>
      <c r="F17" s="41" t="s">
        <v>68</v>
      </c>
      <c r="G17" s="40" t="s">
        <v>69</v>
      </c>
      <c r="H17" s="43" t="s">
        <v>44</v>
      </c>
      <c r="I17" s="40"/>
      <c r="J17" s="44"/>
      <c r="K17" s="45"/>
      <c r="L17" s="46">
        <v>45632</v>
      </c>
      <c r="M17" s="45"/>
      <c r="N17" s="45">
        <v>45646</v>
      </c>
      <c r="O17" s="47" t="s">
        <v>24</v>
      </c>
      <c r="P17" s="146" t="str">
        <f>IFERROR(VLOOKUP(A17,#REF!, 2, FALSE), "")</f>
        <v/>
      </c>
      <c r="Q17" s="7"/>
    </row>
    <row r="18" spans="1:17" ht="58.5" customHeight="1" x14ac:dyDescent="0.2">
      <c r="A18" s="39" t="s">
        <v>140</v>
      </c>
      <c r="B18" s="40"/>
      <c r="C18" s="40" t="s">
        <v>38</v>
      </c>
      <c r="D18" s="41" t="s">
        <v>32</v>
      </c>
      <c r="E18" s="42"/>
      <c r="F18" s="41" t="s">
        <v>70</v>
      </c>
      <c r="G18" s="40" t="s">
        <v>69</v>
      </c>
      <c r="H18" s="43" t="s">
        <v>180</v>
      </c>
      <c r="I18" s="40"/>
      <c r="J18" s="44" t="s">
        <v>181</v>
      </c>
      <c r="K18" s="45"/>
      <c r="L18" s="46">
        <v>45750</v>
      </c>
      <c r="M18" s="118"/>
      <c r="N18" s="45">
        <v>45758</v>
      </c>
      <c r="O18" s="47" t="s">
        <v>24</v>
      </c>
      <c r="P18" s="146" t="str">
        <f>IFERROR(VLOOKUP(A18,#REF!, 2, FALSE), "")</f>
        <v/>
      </c>
      <c r="Q18" s="7"/>
    </row>
    <row r="19" spans="1:17" ht="25.5" customHeight="1" x14ac:dyDescent="0.2">
      <c r="A19" s="39" t="s">
        <v>193</v>
      </c>
      <c r="B19" s="40"/>
      <c r="C19" s="40" t="s">
        <v>38</v>
      </c>
      <c r="D19" s="41" t="s">
        <v>32</v>
      </c>
      <c r="E19" s="42"/>
      <c r="F19" s="41" t="s">
        <v>71</v>
      </c>
      <c r="G19" s="40" t="s">
        <v>72</v>
      </c>
      <c r="H19" s="43"/>
      <c r="I19" s="40"/>
      <c r="J19" s="44" t="s">
        <v>187</v>
      </c>
      <c r="K19" s="45"/>
      <c r="L19" s="46">
        <v>45758</v>
      </c>
      <c r="M19" s="45"/>
      <c r="N19" s="45"/>
      <c r="O19" s="47" t="s">
        <v>24</v>
      </c>
      <c r="P19" s="146" t="str">
        <f>IFERROR(VLOOKUP(A19,#REF!, 2, FALSE), "")</f>
        <v/>
      </c>
      <c r="Q19" s="7"/>
    </row>
    <row r="20" spans="1:17" ht="25.5" customHeight="1" x14ac:dyDescent="0.2">
      <c r="A20" s="39" t="s">
        <v>171</v>
      </c>
      <c r="B20" s="40"/>
      <c r="C20" s="40" t="s">
        <v>38</v>
      </c>
      <c r="D20" s="41" t="s">
        <v>32</v>
      </c>
      <c r="E20" s="42"/>
      <c r="F20" s="41" t="s">
        <v>73</v>
      </c>
      <c r="G20" s="40" t="s">
        <v>33</v>
      </c>
      <c r="H20" s="43" t="s">
        <v>44</v>
      </c>
      <c r="I20" s="40"/>
      <c r="J20" s="44"/>
      <c r="K20" s="45"/>
      <c r="L20" s="46">
        <v>45604</v>
      </c>
      <c r="M20" s="45"/>
      <c r="N20" s="45">
        <v>45628</v>
      </c>
      <c r="O20" s="75" t="s">
        <v>24</v>
      </c>
      <c r="P20" s="146" t="str">
        <f>IFERROR(VLOOKUP(A20,#REF!, 2, FALSE), "")</f>
        <v/>
      </c>
      <c r="Q20" s="7"/>
    </row>
    <row r="21" spans="1:17" ht="25.5" customHeight="1" x14ac:dyDescent="0.2">
      <c r="A21" s="39" t="s">
        <v>141</v>
      </c>
      <c r="B21" s="40"/>
      <c r="C21" s="40" t="s">
        <v>38</v>
      </c>
      <c r="D21" s="41" t="s">
        <v>32</v>
      </c>
      <c r="E21" s="42"/>
      <c r="F21" s="41" t="s">
        <v>74</v>
      </c>
      <c r="G21" s="40" t="s">
        <v>29</v>
      </c>
      <c r="H21" s="43" t="s">
        <v>44</v>
      </c>
      <c r="I21" s="40"/>
      <c r="J21" s="44" t="s">
        <v>185</v>
      </c>
      <c r="K21" s="45"/>
      <c r="L21" s="46">
        <v>45792</v>
      </c>
      <c r="M21" s="45"/>
      <c r="N21" s="45">
        <v>45793</v>
      </c>
      <c r="O21" s="47" t="s">
        <v>24</v>
      </c>
      <c r="P21" s="146" t="str">
        <f>IFERROR(VLOOKUP(A21,#REF!, 2, FALSE), "")</f>
        <v/>
      </c>
      <c r="Q21" s="7"/>
    </row>
    <row r="22" spans="1:17" ht="25.5" customHeight="1" x14ac:dyDescent="0.2">
      <c r="A22" s="39" t="s">
        <v>142</v>
      </c>
      <c r="B22" s="40"/>
      <c r="C22" s="40" t="s">
        <v>38</v>
      </c>
      <c r="D22" s="41" t="s">
        <v>32</v>
      </c>
      <c r="E22" s="42"/>
      <c r="F22" s="41" t="s">
        <v>75</v>
      </c>
      <c r="G22" s="40" t="s">
        <v>76</v>
      </c>
      <c r="H22" s="43" t="s">
        <v>44</v>
      </c>
      <c r="I22" s="40"/>
      <c r="J22" s="44"/>
      <c r="K22" s="45"/>
      <c r="L22" s="46">
        <v>45685</v>
      </c>
      <c r="M22" s="45"/>
      <c r="N22" s="45">
        <v>45695</v>
      </c>
      <c r="O22" s="47" t="s">
        <v>24</v>
      </c>
      <c r="P22" s="146" t="str">
        <f>IFERROR(VLOOKUP(A22,#REF!, 2, FALSE), "")</f>
        <v/>
      </c>
      <c r="Q22" s="7"/>
    </row>
    <row r="23" spans="1:17" ht="25.5" hidden="1" customHeight="1" x14ac:dyDescent="0.2">
      <c r="A23" s="39" t="s">
        <v>191</v>
      </c>
      <c r="B23" s="40"/>
      <c r="C23" s="40" t="s">
        <v>38</v>
      </c>
      <c r="D23" s="41" t="s">
        <v>32</v>
      </c>
      <c r="E23" s="42"/>
      <c r="F23" s="41" t="s">
        <v>77</v>
      </c>
      <c r="G23" s="40" t="s">
        <v>78</v>
      </c>
      <c r="H23" s="43" t="s">
        <v>44</v>
      </c>
      <c r="I23" s="40"/>
      <c r="J23" s="44"/>
      <c r="K23" s="45"/>
      <c r="L23" s="46">
        <v>45750</v>
      </c>
      <c r="M23" s="45"/>
      <c r="N23" s="45">
        <v>45758</v>
      </c>
      <c r="O23" s="75" t="s">
        <v>24</v>
      </c>
      <c r="P23" s="146" t="str">
        <f>IFERROR(VLOOKUP(A23,#REF!, 2, FALSE), "")</f>
        <v/>
      </c>
      <c r="Q23" s="7"/>
    </row>
    <row r="24" spans="1:17" ht="25.5" customHeight="1" x14ac:dyDescent="0.2">
      <c r="A24" s="39" t="s">
        <v>192</v>
      </c>
      <c r="B24" s="40"/>
      <c r="C24" s="40" t="s">
        <v>38</v>
      </c>
      <c r="D24" s="41" t="s">
        <v>32</v>
      </c>
      <c r="E24" s="42"/>
      <c r="F24" s="41" t="s">
        <v>79</v>
      </c>
      <c r="G24" s="40" t="s">
        <v>78</v>
      </c>
      <c r="H24" s="43" t="s">
        <v>44</v>
      </c>
      <c r="I24" s="40"/>
      <c r="J24" s="44"/>
      <c r="K24" s="45"/>
      <c r="L24" s="46">
        <v>45750</v>
      </c>
      <c r="M24" s="45"/>
      <c r="N24" s="45">
        <v>45758</v>
      </c>
      <c r="O24" s="75" t="s">
        <v>24</v>
      </c>
      <c r="P24" s="146" t="str">
        <f>IFERROR(VLOOKUP(A24,#REF!, 2, FALSE), "")</f>
        <v/>
      </c>
      <c r="Q24" s="7"/>
    </row>
    <row r="25" spans="1:17" ht="25.5" customHeight="1" x14ac:dyDescent="0.2">
      <c r="A25" s="39" t="s">
        <v>143</v>
      </c>
      <c r="B25" s="40"/>
      <c r="C25" s="40" t="s">
        <v>38</v>
      </c>
      <c r="D25" s="41" t="s">
        <v>32</v>
      </c>
      <c r="E25" s="42"/>
      <c r="F25" s="41" t="s">
        <v>80</v>
      </c>
      <c r="G25" s="40" t="s">
        <v>81</v>
      </c>
      <c r="H25" s="43" t="s">
        <v>44</v>
      </c>
      <c r="I25" s="40"/>
      <c r="J25" s="44"/>
      <c r="K25" s="45"/>
      <c r="L25" s="46">
        <v>45607</v>
      </c>
      <c r="M25" s="45"/>
      <c r="N25" s="45">
        <v>45990</v>
      </c>
      <c r="O25" s="47" t="s">
        <v>24</v>
      </c>
      <c r="P25" s="146" t="str">
        <f>IFERROR(VLOOKUP(A25,#REF!, 2, FALSE), "")</f>
        <v/>
      </c>
      <c r="Q25" s="7"/>
    </row>
    <row r="26" spans="1:17" ht="25.5" customHeight="1" x14ac:dyDescent="0.2">
      <c r="A26" s="39" t="s">
        <v>144</v>
      </c>
      <c r="B26" s="40"/>
      <c r="C26" s="40" t="s">
        <v>38</v>
      </c>
      <c r="D26" s="41" t="s">
        <v>32</v>
      </c>
      <c r="E26" s="42"/>
      <c r="F26" s="41" t="s">
        <v>116</v>
      </c>
      <c r="G26" s="40" t="s">
        <v>81</v>
      </c>
      <c r="H26" s="43" t="s">
        <v>44</v>
      </c>
      <c r="I26" s="40"/>
      <c r="J26" s="44"/>
      <c r="K26" s="45"/>
      <c r="L26" s="46">
        <v>45693</v>
      </c>
      <c r="M26" s="45"/>
      <c r="N26" s="45">
        <v>45707</v>
      </c>
      <c r="O26" s="47" t="s">
        <v>24</v>
      </c>
      <c r="P26" s="146" t="str">
        <f>IFERROR(VLOOKUP(A26,#REF!, 2, FALSE), "")</f>
        <v/>
      </c>
      <c r="Q26" s="7"/>
    </row>
    <row r="27" spans="1:17" ht="25.5" customHeight="1" x14ac:dyDescent="0.2">
      <c r="A27" s="39" t="s">
        <v>145</v>
      </c>
      <c r="B27" s="40"/>
      <c r="C27" s="40" t="s">
        <v>38</v>
      </c>
      <c r="D27" s="41" t="s">
        <v>32</v>
      </c>
      <c r="E27" s="42"/>
      <c r="F27" s="41" t="s">
        <v>82</v>
      </c>
      <c r="G27" s="40" t="s">
        <v>81</v>
      </c>
      <c r="H27" s="43" t="s">
        <v>44</v>
      </c>
      <c r="I27" s="40"/>
      <c r="J27" s="44" t="s">
        <v>186</v>
      </c>
      <c r="K27" s="45"/>
      <c r="L27" s="46" t="s">
        <v>172</v>
      </c>
      <c r="M27" s="45"/>
      <c r="N27" s="45">
        <v>45775</v>
      </c>
      <c r="O27" s="47" t="s">
        <v>24</v>
      </c>
      <c r="P27" s="146" t="str">
        <f>IFERROR(VLOOKUP(A27,#REF!, 2, FALSE), "")</f>
        <v/>
      </c>
      <c r="Q27" s="7"/>
    </row>
    <row r="28" spans="1:17" ht="25.5" customHeight="1" x14ac:dyDescent="0.2">
      <c r="A28" s="39" t="s">
        <v>146</v>
      </c>
      <c r="B28" s="40"/>
      <c r="C28" s="40" t="s">
        <v>38</v>
      </c>
      <c r="D28" s="41" t="s">
        <v>32</v>
      </c>
      <c r="E28" s="42"/>
      <c r="F28" s="41" t="s">
        <v>83</v>
      </c>
      <c r="G28" s="40" t="s">
        <v>84</v>
      </c>
      <c r="H28" s="43" t="s">
        <v>44</v>
      </c>
      <c r="I28" s="40"/>
      <c r="J28" s="44"/>
      <c r="K28" s="45"/>
      <c r="L28" s="46">
        <v>45628</v>
      </c>
      <c r="M28" s="45"/>
      <c r="N28" s="45">
        <v>45642</v>
      </c>
      <c r="O28" s="47" t="s">
        <v>24</v>
      </c>
      <c r="P28" s="146" t="str">
        <f>IFERROR(VLOOKUP(A28,#REF!, 2, FALSE), "")</f>
        <v/>
      </c>
      <c r="Q28" s="7"/>
    </row>
    <row r="29" spans="1:17" ht="25.5" customHeight="1" x14ac:dyDescent="0.2">
      <c r="A29" s="39" t="s">
        <v>147</v>
      </c>
      <c r="B29" s="40"/>
      <c r="C29" s="40" t="s">
        <v>38</v>
      </c>
      <c r="D29" s="41" t="s">
        <v>32</v>
      </c>
      <c r="E29" s="42"/>
      <c r="F29" s="41" t="s">
        <v>85</v>
      </c>
      <c r="G29" s="40" t="s">
        <v>86</v>
      </c>
      <c r="H29" s="43" t="s">
        <v>44</v>
      </c>
      <c r="I29" s="40"/>
      <c r="J29" s="44"/>
      <c r="K29" s="45"/>
      <c r="L29" s="46">
        <v>45698</v>
      </c>
      <c r="M29" s="45"/>
      <c r="N29" s="45">
        <v>45706</v>
      </c>
      <c r="O29" s="47" t="s">
        <v>24</v>
      </c>
      <c r="P29" s="146" t="str">
        <f>IFERROR(VLOOKUP(A29,#REF!, 2, FALSE), "")</f>
        <v/>
      </c>
      <c r="Q29" s="7"/>
    </row>
    <row r="30" spans="1:17" ht="25.5" customHeight="1" x14ac:dyDescent="0.2">
      <c r="A30" s="39" t="s">
        <v>194</v>
      </c>
      <c r="B30" s="40"/>
      <c r="C30" s="40" t="s">
        <v>38</v>
      </c>
      <c r="D30" s="41" t="s">
        <v>32</v>
      </c>
      <c r="E30" s="42"/>
      <c r="F30" s="41" t="s">
        <v>87</v>
      </c>
      <c r="G30" s="40" t="s">
        <v>86</v>
      </c>
      <c r="H30" s="43" t="s">
        <v>44</v>
      </c>
      <c r="I30" s="40"/>
      <c r="J30" s="44" t="s">
        <v>188</v>
      </c>
      <c r="K30" s="45"/>
      <c r="L30" s="46">
        <v>45758</v>
      </c>
      <c r="M30" s="45"/>
      <c r="N30" s="45">
        <v>45776</v>
      </c>
      <c r="O30" s="75" t="s">
        <v>24</v>
      </c>
      <c r="P30" s="146" t="str">
        <f>IFERROR(VLOOKUP(A30,#REF!, 2, FALSE), "")</f>
        <v/>
      </c>
      <c r="Q30" s="7"/>
    </row>
    <row r="31" spans="1:17" ht="25.5" customHeight="1" x14ac:dyDescent="0.2">
      <c r="A31" s="39" t="s">
        <v>148</v>
      </c>
      <c r="B31" s="40"/>
      <c r="C31" s="40" t="s">
        <v>38</v>
      </c>
      <c r="D31" s="41" t="s">
        <v>32</v>
      </c>
      <c r="E31" s="42"/>
      <c r="F31" s="41" t="s">
        <v>89</v>
      </c>
      <c r="G31" s="40" t="s">
        <v>88</v>
      </c>
      <c r="H31" s="43" t="s">
        <v>44</v>
      </c>
      <c r="I31" s="40"/>
      <c r="J31" s="44"/>
      <c r="K31" s="45"/>
      <c r="L31" s="46">
        <v>45699</v>
      </c>
      <c r="M31" s="45"/>
      <c r="N31" s="45">
        <v>45708</v>
      </c>
      <c r="O31" s="47" t="s">
        <v>24</v>
      </c>
      <c r="P31" s="146" t="str">
        <f>IFERROR(VLOOKUP(A31,#REF!, 2, FALSE), "")</f>
        <v/>
      </c>
      <c r="Q31" s="7"/>
    </row>
    <row r="32" spans="1:17" ht="25.5" customHeight="1" x14ac:dyDescent="0.2">
      <c r="A32" s="39" t="s">
        <v>149</v>
      </c>
      <c r="B32" s="40"/>
      <c r="C32" s="40" t="s">
        <v>38</v>
      </c>
      <c r="D32" s="41" t="s">
        <v>32</v>
      </c>
      <c r="E32" s="42"/>
      <c r="F32" s="41" t="s">
        <v>90</v>
      </c>
      <c r="G32" s="40" t="s">
        <v>91</v>
      </c>
      <c r="H32" s="43" t="s">
        <v>44</v>
      </c>
      <c r="I32" s="40"/>
      <c r="J32" s="44"/>
      <c r="K32" s="45"/>
      <c r="L32" s="46">
        <v>45672</v>
      </c>
      <c r="M32" s="45"/>
      <c r="N32" s="45">
        <v>45692</v>
      </c>
      <c r="O32" s="47" t="s">
        <v>24</v>
      </c>
      <c r="P32" s="146" t="str">
        <f>IFERROR(VLOOKUP(A32,#REF!, 2, FALSE), "")</f>
        <v/>
      </c>
      <c r="Q32" s="7"/>
    </row>
    <row r="33" spans="1:17" ht="25.5" customHeight="1" x14ac:dyDescent="0.2">
      <c r="A33" s="39" t="s">
        <v>150</v>
      </c>
      <c r="B33" s="40"/>
      <c r="C33" s="40" t="s">
        <v>38</v>
      </c>
      <c r="D33" s="41" t="s">
        <v>32</v>
      </c>
      <c r="E33" s="42"/>
      <c r="F33" s="41" t="s">
        <v>92</v>
      </c>
      <c r="G33" s="40" t="s">
        <v>72</v>
      </c>
      <c r="H33" s="43" t="s">
        <v>44</v>
      </c>
      <c r="I33" s="40"/>
      <c r="J33" s="44"/>
      <c r="K33" s="45"/>
      <c r="L33" s="46">
        <v>45700</v>
      </c>
      <c r="M33" s="45"/>
      <c r="N33" s="45">
        <v>45707</v>
      </c>
      <c r="O33" s="47" t="s">
        <v>24</v>
      </c>
      <c r="P33" s="146" t="str">
        <f>IFERROR(VLOOKUP(A33,#REF!, 2, FALSE), "")</f>
        <v/>
      </c>
      <c r="Q33" s="7"/>
    </row>
    <row r="34" spans="1:17" ht="25.5" customHeight="1" x14ac:dyDescent="0.2">
      <c r="A34" s="39" t="s">
        <v>151</v>
      </c>
      <c r="B34" s="40"/>
      <c r="C34" s="40" t="s">
        <v>38</v>
      </c>
      <c r="D34" s="41" t="s">
        <v>32</v>
      </c>
      <c r="E34" s="42"/>
      <c r="F34" s="41" t="s">
        <v>93</v>
      </c>
      <c r="G34" s="40" t="s">
        <v>86</v>
      </c>
      <c r="H34" s="43" t="s">
        <v>44</v>
      </c>
      <c r="I34" s="40"/>
      <c r="J34" s="44"/>
      <c r="K34" s="45"/>
      <c r="L34" s="46">
        <v>45600</v>
      </c>
      <c r="M34" s="45"/>
      <c r="N34" s="45">
        <v>45631</v>
      </c>
      <c r="O34" s="47" t="s">
        <v>24</v>
      </c>
      <c r="P34" s="146" t="str">
        <f>IFERROR(VLOOKUP(A34,#REF!, 2, FALSE), "")</f>
        <v/>
      </c>
      <c r="Q34" s="7"/>
    </row>
    <row r="35" spans="1:17" ht="25.5" customHeight="1" x14ac:dyDescent="0.2">
      <c r="A35" s="39" t="s">
        <v>152</v>
      </c>
      <c r="B35" s="40"/>
      <c r="C35" s="40" t="s">
        <v>38</v>
      </c>
      <c r="D35" s="41" t="s">
        <v>32</v>
      </c>
      <c r="E35" s="42"/>
      <c r="F35" s="41" t="s">
        <v>94</v>
      </c>
      <c r="G35" s="40" t="s">
        <v>95</v>
      </c>
      <c r="H35" s="43" t="s">
        <v>44</v>
      </c>
      <c r="I35" s="40"/>
      <c r="J35" s="44"/>
      <c r="K35" s="45"/>
      <c r="L35" s="46">
        <v>45701</v>
      </c>
      <c r="M35" s="45"/>
      <c r="N35" s="45">
        <v>45715</v>
      </c>
      <c r="O35" s="47" t="s">
        <v>24</v>
      </c>
      <c r="P35" s="146" t="str">
        <f>IFERROR(VLOOKUP(A35,#REF!, 2, FALSE), "")</f>
        <v/>
      </c>
      <c r="Q35" s="7"/>
    </row>
    <row r="36" spans="1:17" ht="25.5" customHeight="1" x14ac:dyDescent="0.2">
      <c r="A36" s="39" t="s">
        <v>153</v>
      </c>
      <c r="B36" s="40"/>
      <c r="C36" s="40" t="s">
        <v>38</v>
      </c>
      <c r="D36" s="41" t="s">
        <v>32</v>
      </c>
      <c r="E36" s="42"/>
      <c r="F36" s="41" t="s">
        <v>96</v>
      </c>
      <c r="G36" s="40" t="s">
        <v>97</v>
      </c>
      <c r="H36" s="43" t="s">
        <v>44</v>
      </c>
      <c r="I36" s="40"/>
      <c r="J36" s="44"/>
      <c r="K36" s="45"/>
      <c r="L36" s="46">
        <v>45695</v>
      </c>
      <c r="M36" s="45"/>
      <c r="N36" s="45">
        <v>45719</v>
      </c>
      <c r="O36" s="47" t="s">
        <v>24</v>
      </c>
      <c r="P36" s="146" t="str">
        <f>IFERROR(VLOOKUP(A36,#REF!, 2, FALSE), "")</f>
        <v/>
      </c>
      <c r="Q36" s="7"/>
    </row>
    <row r="37" spans="1:17" ht="25.5" customHeight="1" x14ac:dyDescent="0.2">
      <c r="A37" s="39" t="s">
        <v>195</v>
      </c>
      <c r="B37" s="40"/>
      <c r="C37" s="40" t="s">
        <v>38</v>
      </c>
      <c r="D37" s="41" t="s">
        <v>32</v>
      </c>
      <c r="E37" s="42"/>
      <c r="F37" s="41" t="s">
        <v>98</v>
      </c>
      <c r="G37" s="40" t="s">
        <v>99</v>
      </c>
      <c r="H37" s="43" t="s">
        <v>44</v>
      </c>
      <c r="I37" s="40"/>
      <c r="J37" s="44" t="s">
        <v>189</v>
      </c>
      <c r="K37" s="45"/>
      <c r="L37" s="46">
        <v>45758</v>
      </c>
      <c r="M37" s="45"/>
      <c r="N37" s="45">
        <v>45776</v>
      </c>
      <c r="O37" s="75" t="s">
        <v>24</v>
      </c>
      <c r="P37" s="146" t="str">
        <f>IFERROR(VLOOKUP(A37,#REF!, 2, FALSE), "")</f>
        <v/>
      </c>
      <c r="Q37" s="7"/>
    </row>
    <row r="38" spans="1:17" ht="25.5" customHeight="1" x14ac:dyDescent="0.2">
      <c r="A38" s="39" t="s">
        <v>154</v>
      </c>
      <c r="B38" s="40"/>
      <c r="C38" s="40" t="s">
        <v>38</v>
      </c>
      <c r="D38" s="41" t="s">
        <v>32</v>
      </c>
      <c r="E38" s="42"/>
      <c r="F38" s="41" t="s">
        <v>100</v>
      </c>
      <c r="G38" s="40" t="s">
        <v>101</v>
      </c>
      <c r="H38" s="43" t="s">
        <v>44</v>
      </c>
      <c r="I38" s="40"/>
      <c r="J38" s="44"/>
      <c r="K38" s="45"/>
      <c r="L38" s="46">
        <v>45694</v>
      </c>
      <c r="M38" s="45"/>
      <c r="N38" s="45">
        <v>45706</v>
      </c>
      <c r="O38" s="47" t="s">
        <v>24</v>
      </c>
      <c r="P38" s="146" t="str">
        <f>IFERROR(VLOOKUP(A38,#REF!, 2, FALSE), "")</f>
        <v/>
      </c>
      <c r="Q38" s="7"/>
    </row>
    <row r="39" spans="1:17" ht="25.5" customHeight="1" x14ac:dyDescent="0.2">
      <c r="A39" s="39" t="s">
        <v>155</v>
      </c>
      <c r="B39" s="40"/>
      <c r="C39" s="40" t="s">
        <v>38</v>
      </c>
      <c r="D39" s="41" t="s">
        <v>32</v>
      </c>
      <c r="E39" s="42"/>
      <c r="F39" s="41" t="s">
        <v>102</v>
      </c>
      <c r="G39" s="40" t="s">
        <v>103</v>
      </c>
      <c r="H39" s="43" t="s">
        <v>44</v>
      </c>
      <c r="I39" s="40"/>
      <c r="J39" s="44"/>
      <c r="K39" s="45"/>
      <c r="L39" s="46">
        <v>45637</v>
      </c>
      <c r="M39" s="45"/>
      <c r="N39" s="45">
        <v>45664</v>
      </c>
      <c r="O39" s="47" t="s">
        <v>24</v>
      </c>
      <c r="P39" s="146" t="str">
        <f>IFERROR(VLOOKUP(A39,#REF!, 2, FALSE), "")</f>
        <v/>
      </c>
      <c r="Q39" s="7"/>
    </row>
    <row r="40" spans="1:17" ht="25.5" customHeight="1" x14ac:dyDescent="0.2">
      <c r="A40" s="39" t="s">
        <v>156</v>
      </c>
      <c r="B40" s="40"/>
      <c r="C40" s="40" t="s">
        <v>38</v>
      </c>
      <c r="D40" s="41" t="s">
        <v>32</v>
      </c>
      <c r="E40" s="42"/>
      <c r="F40" s="41" t="s">
        <v>105</v>
      </c>
      <c r="G40" s="40" t="s">
        <v>104</v>
      </c>
      <c r="H40" s="43" t="s">
        <v>44</v>
      </c>
      <c r="I40" s="40"/>
      <c r="J40" s="44"/>
      <c r="K40" s="45"/>
      <c r="L40" s="46">
        <v>45679</v>
      </c>
      <c r="M40" s="45"/>
      <c r="N40" s="45">
        <v>45691</v>
      </c>
      <c r="O40" s="47" t="s">
        <v>24</v>
      </c>
      <c r="P40" s="146" t="str">
        <f>IFERROR(VLOOKUP(A40,#REF!, 2, FALSE), "")</f>
        <v/>
      </c>
      <c r="Q40" s="7"/>
    </row>
    <row r="41" spans="1:17" ht="25.5" customHeight="1" x14ac:dyDescent="0.2">
      <c r="A41" s="39" t="s">
        <v>157</v>
      </c>
      <c r="B41" s="40"/>
      <c r="C41" s="40" t="s">
        <v>38</v>
      </c>
      <c r="D41" s="41" t="s">
        <v>32</v>
      </c>
      <c r="E41" s="42"/>
      <c r="F41" s="41" t="s">
        <v>106</v>
      </c>
      <c r="G41" s="40" t="s">
        <v>107</v>
      </c>
      <c r="H41" s="43" t="s">
        <v>44</v>
      </c>
      <c r="I41" s="40"/>
      <c r="J41" s="44"/>
      <c r="K41" s="45"/>
      <c r="L41" s="46">
        <v>45695</v>
      </c>
      <c r="M41" s="45"/>
      <c r="N41" s="45">
        <v>45707</v>
      </c>
      <c r="O41" s="47" t="s">
        <v>24</v>
      </c>
      <c r="P41" s="146" t="str">
        <f>IFERROR(VLOOKUP(A41,#REF!, 2, FALSE), "")</f>
        <v/>
      </c>
      <c r="Q41" s="7"/>
    </row>
    <row r="42" spans="1:17" ht="25.5" customHeight="1" x14ac:dyDescent="0.2">
      <c r="A42" s="39" t="s">
        <v>158</v>
      </c>
      <c r="B42" s="40"/>
      <c r="C42" s="40" t="s">
        <v>38</v>
      </c>
      <c r="D42" s="41" t="s">
        <v>32</v>
      </c>
      <c r="E42" s="42"/>
      <c r="F42" s="41" t="s">
        <v>108</v>
      </c>
      <c r="G42" s="40" t="s">
        <v>109</v>
      </c>
      <c r="H42" s="43" t="s">
        <v>44</v>
      </c>
      <c r="I42" s="40"/>
      <c r="J42" s="44"/>
      <c r="K42" s="45"/>
      <c r="L42" s="46">
        <v>45667</v>
      </c>
      <c r="M42" s="45"/>
      <c r="N42" s="45">
        <v>45679</v>
      </c>
      <c r="O42" s="47" t="s">
        <v>24</v>
      </c>
      <c r="P42" s="146" t="str">
        <f>IFERROR(VLOOKUP(A42,#REF!, 2, FALSE), "")</f>
        <v/>
      </c>
      <c r="Q42" s="7"/>
    </row>
    <row r="43" spans="1:17" ht="66" customHeight="1" x14ac:dyDescent="0.2">
      <c r="A43" s="39" t="s">
        <v>311</v>
      </c>
      <c r="B43" s="40"/>
      <c r="C43" s="40" t="s">
        <v>38</v>
      </c>
      <c r="D43" s="41" t="s">
        <v>32</v>
      </c>
      <c r="E43" s="42"/>
      <c r="F43" s="41" t="s">
        <v>110</v>
      </c>
      <c r="G43" s="40" t="s">
        <v>60</v>
      </c>
      <c r="H43" s="43" t="s">
        <v>44</v>
      </c>
      <c r="I43" s="40"/>
      <c r="J43" s="44" t="s">
        <v>190</v>
      </c>
      <c r="K43" s="45"/>
      <c r="L43" s="46">
        <v>45986</v>
      </c>
      <c r="M43" s="45"/>
      <c r="N43" s="45">
        <v>46000</v>
      </c>
      <c r="O43" s="75" t="s">
        <v>24</v>
      </c>
      <c r="P43" s="146"/>
      <c r="Q43" s="7"/>
    </row>
    <row r="44" spans="1:17" ht="25.5" customHeight="1" x14ac:dyDescent="0.2">
      <c r="A44" s="39" t="s">
        <v>159</v>
      </c>
      <c r="B44" s="40"/>
      <c r="C44" s="40" t="s">
        <v>38</v>
      </c>
      <c r="D44" s="41" t="s">
        <v>32</v>
      </c>
      <c r="E44" s="42"/>
      <c r="F44" s="121" t="s">
        <v>111</v>
      </c>
      <c r="G44" s="40" t="s">
        <v>112</v>
      </c>
      <c r="H44" s="43" t="s">
        <v>44</v>
      </c>
      <c r="I44" s="40"/>
      <c r="J44" s="44"/>
      <c r="K44" s="45"/>
      <c r="L44" s="46">
        <v>45615</v>
      </c>
      <c r="M44" s="45"/>
      <c r="N44" s="45">
        <v>45618</v>
      </c>
      <c r="O44" s="47" t="s">
        <v>24</v>
      </c>
      <c r="P44" s="146" t="str">
        <f>IFERROR(VLOOKUP(A44,#REF!, 2, FALSE), "")</f>
        <v/>
      </c>
      <c r="Q44" s="7"/>
    </row>
    <row r="45" spans="1:17" ht="25.5" customHeight="1" x14ac:dyDescent="0.2">
      <c r="A45" s="39" t="s">
        <v>182</v>
      </c>
      <c r="B45" s="40"/>
      <c r="C45" s="40" t="s">
        <v>38</v>
      </c>
      <c r="D45" s="41" t="s">
        <v>32</v>
      </c>
      <c r="E45" s="119"/>
      <c r="F45" s="123" t="s">
        <v>115</v>
      </c>
      <c r="G45" s="120" t="s">
        <v>113</v>
      </c>
      <c r="H45" s="43" t="s">
        <v>44</v>
      </c>
      <c r="I45" s="40"/>
      <c r="J45" s="44"/>
      <c r="K45" s="45"/>
      <c r="L45" s="46">
        <v>45747</v>
      </c>
      <c r="M45" s="45"/>
      <c r="N45" s="45">
        <v>45757</v>
      </c>
      <c r="O45" s="75" t="s">
        <v>24</v>
      </c>
      <c r="P45" s="146" t="str">
        <f>IFERROR(VLOOKUP(A45,#REF!, 2, FALSE), "")</f>
        <v/>
      </c>
      <c r="Q45" s="7"/>
    </row>
    <row r="46" spans="1:17" ht="25.5" customHeight="1" x14ac:dyDescent="0.2">
      <c r="A46" s="39" t="s">
        <v>183</v>
      </c>
      <c r="B46" s="40"/>
      <c r="C46" s="40" t="s">
        <v>38</v>
      </c>
      <c r="D46" s="41" t="s">
        <v>32</v>
      </c>
      <c r="E46" s="119"/>
      <c r="F46" s="123" t="s">
        <v>114</v>
      </c>
      <c r="G46" s="124" t="s">
        <v>113</v>
      </c>
      <c r="H46" s="126" t="s">
        <v>44</v>
      </c>
      <c r="I46" s="40"/>
      <c r="J46" s="44"/>
      <c r="K46" s="45"/>
      <c r="L46" s="46">
        <v>45747</v>
      </c>
      <c r="M46" s="45"/>
      <c r="N46" s="45">
        <v>45756</v>
      </c>
      <c r="O46" s="75" t="s">
        <v>24</v>
      </c>
      <c r="P46" s="146" t="str">
        <f>IFERROR(VLOOKUP(A46,#REF!, 2, FALSE), "")</f>
        <v/>
      </c>
      <c r="Q46" s="7"/>
    </row>
    <row r="47" spans="1:17" ht="25.5" hidden="1" customHeight="1" x14ac:dyDescent="0.2">
      <c r="A47" s="39" t="s">
        <v>260</v>
      </c>
      <c r="B47" s="40"/>
      <c r="C47" s="40" t="s">
        <v>256</v>
      </c>
      <c r="D47" s="41" t="s">
        <v>32</v>
      </c>
      <c r="E47" s="119"/>
      <c r="F47" s="130" t="s">
        <v>203</v>
      </c>
      <c r="G47" s="130" t="s">
        <v>238</v>
      </c>
      <c r="H47" s="128" t="s">
        <v>44</v>
      </c>
      <c r="I47" s="120"/>
      <c r="J47" s="44"/>
      <c r="K47" s="45"/>
      <c r="L47" s="46">
        <v>45853</v>
      </c>
      <c r="M47" s="45"/>
      <c r="N47" s="45">
        <v>45856</v>
      </c>
      <c r="O47" s="47" t="s">
        <v>24</v>
      </c>
      <c r="P47" s="146" t="str">
        <f>IFERROR(VLOOKUP(A47,#REF!, 2, FALSE), "")</f>
        <v/>
      </c>
      <c r="Q47" s="7"/>
    </row>
    <row r="48" spans="1:17" ht="25.5" hidden="1" customHeight="1" x14ac:dyDescent="0.2">
      <c r="A48" s="39" t="s">
        <v>294</v>
      </c>
      <c r="B48" s="40"/>
      <c r="C48" s="40" t="s">
        <v>256</v>
      </c>
      <c r="D48" s="41" t="s">
        <v>32</v>
      </c>
      <c r="E48" s="119"/>
      <c r="F48" s="130" t="s">
        <v>204</v>
      </c>
      <c r="G48" s="130" t="s">
        <v>239</v>
      </c>
      <c r="H48" s="129" t="s">
        <v>44</v>
      </c>
      <c r="I48" s="120"/>
      <c r="J48" s="44"/>
      <c r="K48" s="45"/>
      <c r="L48" s="46">
        <v>45877</v>
      </c>
      <c r="M48" s="45"/>
      <c r="N48" s="45">
        <v>45903</v>
      </c>
      <c r="O48" s="75" t="s">
        <v>24</v>
      </c>
      <c r="P48" s="146" t="str">
        <f>IFERROR(VLOOKUP(A48,#REF!, 2, FALSE), "")</f>
        <v/>
      </c>
      <c r="Q48" s="7"/>
    </row>
    <row r="49" spans="1:17" ht="25.5" customHeight="1" x14ac:dyDescent="0.2">
      <c r="A49" s="39" t="s">
        <v>268</v>
      </c>
      <c r="B49" s="40"/>
      <c r="C49" s="40" t="s">
        <v>256</v>
      </c>
      <c r="D49" s="41" t="s">
        <v>32</v>
      </c>
      <c r="E49" s="119"/>
      <c r="F49" s="128" t="s">
        <v>205</v>
      </c>
      <c r="G49" s="128" t="s">
        <v>168</v>
      </c>
      <c r="H49" s="129" t="s">
        <v>44</v>
      </c>
      <c r="I49" s="120"/>
      <c r="J49" s="44"/>
      <c r="K49" s="45"/>
      <c r="L49" s="46">
        <v>45833</v>
      </c>
      <c r="M49" s="45"/>
      <c r="N49" s="45">
        <v>45854</v>
      </c>
      <c r="O49" s="47" t="s">
        <v>24</v>
      </c>
      <c r="P49" s="146" t="str">
        <f>IFERROR(VLOOKUP(A49,#REF!, 2, FALSE), "")</f>
        <v/>
      </c>
      <c r="Q49" s="7"/>
    </row>
    <row r="50" spans="1:17" ht="25.5" hidden="1" x14ac:dyDescent="0.2">
      <c r="A50" s="39" t="s">
        <v>281</v>
      </c>
      <c r="B50" s="40"/>
      <c r="C50" s="40" t="s">
        <v>256</v>
      </c>
      <c r="D50" s="41" t="s">
        <v>32</v>
      </c>
      <c r="E50" s="119"/>
      <c r="F50" s="130" t="s">
        <v>206</v>
      </c>
      <c r="G50" s="130" t="s">
        <v>240</v>
      </c>
      <c r="H50" s="129" t="s">
        <v>44</v>
      </c>
      <c r="I50" s="120"/>
      <c r="J50" s="44"/>
      <c r="K50" s="45"/>
      <c r="L50" s="46">
        <v>45891</v>
      </c>
      <c r="M50" s="45"/>
      <c r="N50" s="45">
        <v>45905</v>
      </c>
      <c r="O50" s="75" t="s">
        <v>24</v>
      </c>
      <c r="P50" s="146" t="str">
        <f>IFERROR(VLOOKUP(A50,#REF!, 2, FALSE), "")</f>
        <v/>
      </c>
      <c r="Q50" s="7"/>
    </row>
    <row r="51" spans="1:17" ht="25.5" customHeight="1" x14ac:dyDescent="0.2">
      <c r="A51" s="39" t="s">
        <v>261</v>
      </c>
      <c r="B51" s="40"/>
      <c r="C51" s="40" t="s">
        <v>256</v>
      </c>
      <c r="D51" s="41" t="s">
        <v>32</v>
      </c>
      <c r="E51" s="119"/>
      <c r="F51" s="130" t="s">
        <v>207</v>
      </c>
      <c r="G51" s="130" t="s">
        <v>241</v>
      </c>
      <c r="H51" s="128" t="s">
        <v>44</v>
      </c>
      <c r="I51" s="120"/>
      <c r="J51" s="44"/>
      <c r="K51" s="45"/>
      <c r="L51" s="46">
        <v>45853</v>
      </c>
      <c r="M51" s="45"/>
      <c r="N51" s="45">
        <v>45860</v>
      </c>
      <c r="O51" s="47" t="s">
        <v>24</v>
      </c>
      <c r="P51" s="146" t="str">
        <f>IFERROR(VLOOKUP(A51,#REF!, 2, FALSE), "")</f>
        <v/>
      </c>
      <c r="Q51" s="7"/>
    </row>
    <row r="52" spans="1:17" ht="25.5" customHeight="1" x14ac:dyDescent="0.2">
      <c r="A52" s="39" t="s">
        <v>293</v>
      </c>
      <c r="B52" s="40"/>
      <c r="C52" s="40" t="s">
        <v>256</v>
      </c>
      <c r="D52" s="41" t="s">
        <v>32</v>
      </c>
      <c r="E52" s="119"/>
      <c r="F52" s="128" t="s">
        <v>208</v>
      </c>
      <c r="G52" s="128" t="s">
        <v>242</v>
      </c>
      <c r="H52" s="130" t="s">
        <v>44</v>
      </c>
      <c r="I52" s="120"/>
      <c r="J52" s="44"/>
      <c r="K52" s="45"/>
      <c r="L52" s="46">
        <v>45898</v>
      </c>
      <c r="M52" s="45"/>
      <c r="N52" s="45">
        <v>45908</v>
      </c>
      <c r="O52" s="75" t="s">
        <v>24</v>
      </c>
      <c r="P52" s="146" t="str">
        <f>IFERROR(VLOOKUP(A52,#REF!, 2, FALSE), "")</f>
        <v/>
      </c>
      <c r="Q52" s="7"/>
    </row>
    <row r="53" spans="1:17" ht="25.5" hidden="1" customHeight="1" x14ac:dyDescent="0.2">
      <c r="A53" s="39" t="s">
        <v>265</v>
      </c>
      <c r="B53" s="40"/>
      <c r="C53" s="40" t="s">
        <v>256</v>
      </c>
      <c r="D53" s="41" t="s">
        <v>32</v>
      </c>
      <c r="E53" s="119"/>
      <c r="F53" s="128" t="s">
        <v>209</v>
      </c>
      <c r="G53" s="128" t="s">
        <v>243</v>
      </c>
      <c r="H53" s="128" t="s">
        <v>44</v>
      </c>
      <c r="I53" s="120"/>
      <c r="J53" s="44"/>
      <c r="K53" s="45"/>
      <c r="L53" s="46">
        <v>45848</v>
      </c>
      <c r="M53" s="45"/>
      <c r="N53" s="45">
        <v>45863</v>
      </c>
      <c r="O53" s="47" t="s">
        <v>24</v>
      </c>
      <c r="P53" s="146" t="str">
        <f>IFERROR(VLOOKUP(A53,#REF!, 2, FALSE), "")</f>
        <v/>
      </c>
      <c r="Q53" s="7"/>
    </row>
    <row r="54" spans="1:17" ht="25.5" hidden="1" customHeight="1" x14ac:dyDescent="0.2">
      <c r="A54" s="39" t="s">
        <v>264</v>
      </c>
      <c r="B54" s="40"/>
      <c r="C54" s="40" t="s">
        <v>256</v>
      </c>
      <c r="D54" s="41" t="s">
        <v>32</v>
      </c>
      <c r="E54" s="119"/>
      <c r="F54" s="128" t="s">
        <v>210</v>
      </c>
      <c r="G54" s="128" t="s">
        <v>243</v>
      </c>
      <c r="H54" s="128" t="s">
        <v>44</v>
      </c>
      <c r="I54" s="120"/>
      <c r="J54" s="44"/>
      <c r="K54" s="45"/>
      <c r="L54" s="46">
        <v>45848</v>
      </c>
      <c r="M54" s="45"/>
      <c r="N54" s="45">
        <v>45863</v>
      </c>
      <c r="O54" s="47" t="s">
        <v>24</v>
      </c>
      <c r="P54" s="146" t="str">
        <f>IFERROR(VLOOKUP(A54,#REF!, 2, FALSE), "")</f>
        <v/>
      </c>
      <c r="Q54" s="7"/>
    </row>
    <row r="55" spans="1:17" ht="25.5" hidden="1" customHeight="1" x14ac:dyDescent="0.2">
      <c r="A55" s="111"/>
      <c r="B55" s="112"/>
      <c r="C55" s="112" t="s">
        <v>256</v>
      </c>
      <c r="D55" s="113" t="s">
        <v>32</v>
      </c>
      <c r="E55" s="131"/>
      <c r="F55" s="133" t="s">
        <v>211</v>
      </c>
      <c r="G55" s="132" t="s">
        <v>244</v>
      </c>
      <c r="H55" s="135"/>
      <c r="I55" s="134"/>
      <c r="J55" s="114" t="s">
        <v>291</v>
      </c>
      <c r="K55" s="115"/>
      <c r="L55" s="116"/>
      <c r="M55" s="115"/>
      <c r="N55" s="115"/>
      <c r="O55" s="117" t="s">
        <v>27</v>
      </c>
      <c r="P55" s="146" t="str">
        <f>IFERROR(VLOOKUP(A55,#REF!, 2, FALSE), "")</f>
        <v/>
      </c>
      <c r="Q55" s="7"/>
    </row>
    <row r="56" spans="1:17" ht="25.5" hidden="1" x14ac:dyDescent="0.2">
      <c r="A56" s="39" t="s">
        <v>302</v>
      </c>
      <c r="B56" s="40"/>
      <c r="C56" s="40" t="s">
        <v>256</v>
      </c>
      <c r="D56" s="41" t="s">
        <v>32</v>
      </c>
      <c r="E56" s="119"/>
      <c r="F56" s="128" t="s">
        <v>295</v>
      </c>
      <c r="G56" s="128" t="s">
        <v>60</v>
      </c>
      <c r="H56" s="129" t="s">
        <v>289</v>
      </c>
      <c r="I56" s="120"/>
      <c r="J56" s="44"/>
      <c r="K56" s="45"/>
      <c r="L56" s="46">
        <v>45905</v>
      </c>
      <c r="M56" s="45"/>
      <c r="N56" s="45">
        <v>45915</v>
      </c>
      <c r="O56" s="75" t="s">
        <v>24</v>
      </c>
      <c r="P56" s="146" t="str">
        <f>IFERROR(VLOOKUP(A56,#REF!, 2, FALSE), "")</f>
        <v/>
      </c>
      <c r="Q56" s="7"/>
    </row>
    <row r="57" spans="1:17" ht="25.5" hidden="1" x14ac:dyDescent="0.2">
      <c r="A57" s="39" t="s">
        <v>301</v>
      </c>
      <c r="B57" s="40"/>
      <c r="C57" s="40" t="s">
        <v>256</v>
      </c>
      <c r="D57" s="41" t="s">
        <v>32</v>
      </c>
      <c r="E57" s="119"/>
      <c r="F57" s="128" t="s">
        <v>296</v>
      </c>
      <c r="G57" s="128" t="s">
        <v>60</v>
      </c>
      <c r="H57" s="129" t="s">
        <v>289</v>
      </c>
      <c r="I57" s="120"/>
      <c r="J57" s="44"/>
      <c r="K57" s="45"/>
      <c r="L57" s="46">
        <v>45905</v>
      </c>
      <c r="M57" s="45"/>
      <c r="N57" s="45">
        <v>45915</v>
      </c>
      <c r="O57" s="75" t="s">
        <v>24</v>
      </c>
      <c r="P57" s="146" t="str">
        <f>IFERROR(VLOOKUP(A57,#REF!, 2, FALSE), "")</f>
        <v/>
      </c>
      <c r="Q57" s="7"/>
    </row>
    <row r="58" spans="1:17" ht="25.5" hidden="1" x14ac:dyDescent="0.2">
      <c r="A58" s="39" t="s">
        <v>300</v>
      </c>
      <c r="B58" s="40"/>
      <c r="C58" s="40" t="s">
        <v>256</v>
      </c>
      <c r="D58" s="41" t="s">
        <v>32</v>
      </c>
      <c r="E58" s="119"/>
      <c r="F58" s="128" t="s">
        <v>297</v>
      </c>
      <c r="G58" s="128" t="s">
        <v>60</v>
      </c>
      <c r="H58" s="129" t="s">
        <v>289</v>
      </c>
      <c r="I58" s="120"/>
      <c r="J58" s="44"/>
      <c r="K58" s="45"/>
      <c r="L58" s="46">
        <v>45905</v>
      </c>
      <c r="M58" s="45"/>
      <c r="N58" s="45">
        <v>45915</v>
      </c>
      <c r="O58" s="75" t="s">
        <v>24</v>
      </c>
      <c r="P58" s="146" t="str">
        <f>IFERROR(VLOOKUP(A58,#REF!, 2, FALSE), "")</f>
        <v/>
      </c>
      <c r="Q58" s="7"/>
    </row>
    <row r="59" spans="1:17" ht="25.5" hidden="1" customHeight="1" x14ac:dyDescent="0.2">
      <c r="A59" s="39" t="s">
        <v>299</v>
      </c>
      <c r="B59" s="40"/>
      <c r="C59" s="40" t="s">
        <v>256</v>
      </c>
      <c r="D59" s="41" t="s">
        <v>32</v>
      </c>
      <c r="E59" s="119"/>
      <c r="F59" s="128" t="s">
        <v>298</v>
      </c>
      <c r="G59" s="128" t="s">
        <v>60</v>
      </c>
      <c r="H59" s="129" t="s">
        <v>289</v>
      </c>
      <c r="I59" s="120"/>
      <c r="J59" s="44"/>
      <c r="K59" s="45"/>
      <c r="L59" s="46">
        <v>45905</v>
      </c>
      <c r="M59" s="45"/>
      <c r="N59" s="45">
        <v>45915</v>
      </c>
      <c r="O59" s="75" t="s">
        <v>24</v>
      </c>
      <c r="P59" s="146" t="str">
        <f>IFERROR(VLOOKUP(A59,#REF!, 2, FALSE), "")</f>
        <v/>
      </c>
      <c r="Q59" s="7"/>
    </row>
    <row r="60" spans="1:17" ht="25.5" hidden="1" x14ac:dyDescent="0.2">
      <c r="A60" s="39" t="s">
        <v>269</v>
      </c>
      <c r="B60" s="40"/>
      <c r="C60" s="40" t="s">
        <v>256</v>
      </c>
      <c r="D60" s="41" t="s">
        <v>32</v>
      </c>
      <c r="E60" s="119"/>
      <c r="F60" s="130" t="s">
        <v>212</v>
      </c>
      <c r="G60" s="130" t="s">
        <v>60</v>
      </c>
      <c r="H60" s="129"/>
      <c r="I60" s="120"/>
      <c r="J60" s="44"/>
      <c r="K60" s="45"/>
      <c r="L60" s="46">
        <v>45860</v>
      </c>
      <c r="M60" s="45"/>
      <c r="N60" s="45">
        <v>45870</v>
      </c>
      <c r="O60" s="75" t="s">
        <v>24</v>
      </c>
      <c r="P60" s="146" t="str">
        <f>IFERROR(VLOOKUP(A60,#REF!, 2, FALSE), "")</f>
        <v/>
      </c>
      <c r="Q60" s="7"/>
    </row>
    <row r="61" spans="1:17" ht="25.5" hidden="1" x14ac:dyDescent="0.2">
      <c r="A61" s="39" t="s">
        <v>258</v>
      </c>
      <c r="B61" s="40"/>
      <c r="C61" s="40" t="s">
        <v>256</v>
      </c>
      <c r="D61" s="41" t="s">
        <v>32</v>
      </c>
      <c r="E61" s="119"/>
      <c r="F61" s="128" t="s">
        <v>213</v>
      </c>
      <c r="G61" s="128" t="s">
        <v>245</v>
      </c>
      <c r="H61" s="129" t="s">
        <v>44</v>
      </c>
      <c r="I61" s="120"/>
      <c r="J61" s="44"/>
      <c r="K61" s="45"/>
      <c r="L61" s="46">
        <v>45859</v>
      </c>
      <c r="M61" s="45"/>
      <c r="N61" s="45">
        <v>45862</v>
      </c>
      <c r="O61" s="47" t="s">
        <v>24</v>
      </c>
      <c r="P61" s="146" t="str">
        <f>IFERROR(VLOOKUP(A61,#REF!, 2, FALSE), "")</f>
        <v/>
      </c>
      <c r="Q61" s="7"/>
    </row>
    <row r="62" spans="1:17" ht="25.5" hidden="1" x14ac:dyDescent="0.2">
      <c r="A62" s="39" t="s">
        <v>262</v>
      </c>
      <c r="B62" s="40"/>
      <c r="C62" s="40" t="s">
        <v>256</v>
      </c>
      <c r="D62" s="41" t="s">
        <v>32</v>
      </c>
      <c r="E62" s="119"/>
      <c r="F62" s="130" t="s">
        <v>214</v>
      </c>
      <c r="G62" s="130" t="s">
        <v>60</v>
      </c>
      <c r="H62" s="130" t="s">
        <v>44</v>
      </c>
      <c r="I62" s="120"/>
      <c r="J62" s="44"/>
      <c r="K62" s="45"/>
      <c r="L62" s="46">
        <v>45852</v>
      </c>
      <c r="M62" s="45"/>
      <c r="N62" s="45">
        <v>45856</v>
      </c>
      <c r="O62" s="47" t="s">
        <v>24</v>
      </c>
      <c r="P62" s="146" t="str">
        <f>IFERROR(VLOOKUP(A62,#REF!, 2, FALSE), "")</f>
        <v/>
      </c>
      <c r="Q62" s="7"/>
    </row>
    <row r="63" spans="1:17" ht="25.5" hidden="1" x14ac:dyDescent="0.2">
      <c r="A63" s="39" t="s">
        <v>288</v>
      </c>
      <c r="B63" s="40"/>
      <c r="C63" s="40" t="s">
        <v>256</v>
      </c>
      <c r="D63" s="41" t="s">
        <v>32</v>
      </c>
      <c r="E63" s="119"/>
      <c r="F63" s="130" t="s">
        <v>215</v>
      </c>
      <c r="G63" s="130" t="s">
        <v>246</v>
      </c>
      <c r="H63" s="130"/>
      <c r="I63" s="120"/>
      <c r="J63" s="44"/>
      <c r="K63" s="45"/>
      <c r="L63" s="46">
        <v>45897</v>
      </c>
      <c r="M63" s="45"/>
      <c r="N63" s="45">
        <v>45908</v>
      </c>
      <c r="O63" s="75" t="s">
        <v>24</v>
      </c>
      <c r="P63" s="146" t="str">
        <f>IFERROR(VLOOKUP(A63,#REF!, 2, FALSE), "")</f>
        <v/>
      </c>
      <c r="Q63" s="7"/>
    </row>
    <row r="64" spans="1:17" ht="25.5" hidden="1" customHeight="1" x14ac:dyDescent="0.2">
      <c r="A64" s="39" t="s">
        <v>259</v>
      </c>
      <c r="B64" s="40"/>
      <c r="C64" s="40" t="s">
        <v>256</v>
      </c>
      <c r="D64" s="41" t="s">
        <v>32</v>
      </c>
      <c r="E64" s="119"/>
      <c r="F64" s="130" t="s">
        <v>122</v>
      </c>
      <c r="G64" s="130" t="s">
        <v>161</v>
      </c>
      <c r="H64" s="130" t="s">
        <v>44</v>
      </c>
      <c r="I64" s="120"/>
      <c r="J64" s="44"/>
      <c r="K64" s="45"/>
      <c r="L64" s="46">
        <v>45859</v>
      </c>
      <c r="M64" s="45"/>
      <c r="N64" s="45">
        <v>45873</v>
      </c>
      <c r="O64" s="47" t="s">
        <v>24</v>
      </c>
      <c r="P64" s="146" t="str">
        <f>IFERROR(VLOOKUP(A64,#REF!, 2, FALSE), "")</f>
        <v/>
      </c>
      <c r="Q64" s="7"/>
    </row>
    <row r="65" spans="1:17" ht="63.2" hidden="1" customHeight="1" x14ac:dyDescent="0.2">
      <c r="A65" s="39" t="s">
        <v>267</v>
      </c>
      <c r="B65" s="40"/>
      <c r="C65" s="40" t="s">
        <v>256</v>
      </c>
      <c r="D65" s="41" t="s">
        <v>32</v>
      </c>
      <c r="E65" s="119"/>
      <c r="F65" s="130" t="s">
        <v>216</v>
      </c>
      <c r="G65" s="130" t="s">
        <v>67</v>
      </c>
      <c r="H65" s="129" t="s">
        <v>44</v>
      </c>
      <c r="I65" s="120"/>
      <c r="J65" s="44"/>
      <c r="K65" s="45"/>
      <c r="L65" s="46">
        <v>45833</v>
      </c>
      <c r="M65" s="45"/>
      <c r="N65" s="45">
        <v>45852</v>
      </c>
      <c r="O65" s="47" t="s">
        <v>24</v>
      </c>
      <c r="P65" s="146" t="str">
        <f>IFERROR(VLOOKUP(A65,#REF!, 2, FALSE), "")</f>
        <v/>
      </c>
      <c r="Q65" s="7"/>
    </row>
    <row r="66" spans="1:17" ht="25.5" hidden="1" customHeight="1" x14ac:dyDescent="0.2">
      <c r="A66" s="111"/>
      <c r="B66" s="112"/>
      <c r="C66" s="112" t="s">
        <v>256</v>
      </c>
      <c r="D66" s="113" t="s">
        <v>32</v>
      </c>
      <c r="E66" s="131"/>
      <c r="F66" s="132" t="s">
        <v>217</v>
      </c>
      <c r="G66" s="132" t="s">
        <v>247</v>
      </c>
      <c r="H66" s="132"/>
      <c r="I66" s="134"/>
      <c r="J66" s="114" t="s">
        <v>306</v>
      </c>
      <c r="K66" s="115"/>
      <c r="L66" s="116"/>
      <c r="M66" s="115"/>
      <c r="N66" s="115"/>
      <c r="O66" s="117" t="s">
        <v>27</v>
      </c>
      <c r="P66" s="146" t="str">
        <f>IFERROR(VLOOKUP(A66,#REF!, 2, FALSE), "")</f>
        <v/>
      </c>
      <c r="Q66" s="7"/>
    </row>
    <row r="67" spans="1:17" ht="25.5" hidden="1" customHeight="1" x14ac:dyDescent="0.2">
      <c r="A67" s="39" t="s">
        <v>280</v>
      </c>
      <c r="B67" s="40"/>
      <c r="C67" s="40" t="s">
        <v>256</v>
      </c>
      <c r="D67" s="41" t="s">
        <v>32</v>
      </c>
      <c r="E67" s="119"/>
      <c r="F67" s="130" t="s">
        <v>218</v>
      </c>
      <c r="G67" s="130" t="s">
        <v>81</v>
      </c>
      <c r="H67" s="130" t="s">
        <v>44</v>
      </c>
      <c r="I67" s="120"/>
      <c r="J67" s="44"/>
      <c r="K67" s="45"/>
      <c r="L67" s="46">
        <v>45891</v>
      </c>
      <c r="M67" s="45"/>
      <c r="N67" s="45">
        <v>45905</v>
      </c>
      <c r="O67" s="75" t="s">
        <v>24</v>
      </c>
      <c r="P67" s="146" t="str">
        <f>IFERROR(VLOOKUP(A67,#REF!, 2, FALSE), "")</f>
        <v/>
      </c>
      <c r="Q67" s="7"/>
    </row>
    <row r="68" spans="1:17" ht="25.5" customHeight="1" x14ac:dyDescent="0.2">
      <c r="A68" s="39" t="s">
        <v>303</v>
      </c>
      <c r="B68" s="40"/>
      <c r="C68" s="40" t="s">
        <v>256</v>
      </c>
      <c r="D68" s="41" t="s">
        <v>32</v>
      </c>
      <c r="E68" s="119"/>
      <c r="F68" s="130" t="s">
        <v>219</v>
      </c>
      <c r="G68" s="130" t="s">
        <v>81</v>
      </c>
      <c r="H68" s="130" t="s">
        <v>44</v>
      </c>
      <c r="I68" s="120"/>
      <c r="J68" s="44"/>
      <c r="K68" s="45"/>
      <c r="L68" s="46">
        <v>45909</v>
      </c>
      <c r="M68" s="45"/>
      <c r="N68" s="45">
        <v>45916</v>
      </c>
      <c r="O68" s="75" t="s">
        <v>24</v>
      </c>
      <c r="P68" s="146" t="str">
        <f>IFERROR(VLOOKUP(A68,#REF!, 2, FALSE), "")</f>
        <v/>
      </c>
      <c r="Q68" s="7"/>
    </row>
    <row r="69" spans="1:17" ht="25.5" customHeight="1" x14ac:dyDescent="0.2">
      <c r="A69" s="39" t="s">
        <v>263</v>
      </c>
      <c r="B69" s="40"/>
      <c r="C69" s="40" t="s">
        <v>256</v>
      </c>
      <c r="D69" s="41" t="s">
        <v>32</v>
      </c>
      <c r="E69" s="119"/>
      <c r="F69" s="130" t="s">
        <v>220</v>
      </c>
      <c r="G69" s="130" t="s">
        <v>63</v>
      </c>
      <c r="H69" s="130" t="s">
        <v>44</v>
      </c>
      <c r="I69" s="120"/>
      <c r="J69" s="44"/>
      <c r="K69" s="45"/>
      <c r="L69" s="46">
        <v>45849</v>
      </c>
      <c r="M69" s="45"/>
      <c r="N69" s="45">
        <v>45856</v>
      </c>
      <c r="O69" s="47" t="s">
        <v>24</v>
      </c>
      <c r="P69" s="146" t="str">
        <f>IFERROR(VLOOKUP(A69,#REF!, 2, FALSE), "")</f>
        <v/>
      </c>
      <c r="Q69" s="7"/>
    </row>
    <row r="70" spans="1:17" ht="25.5" customHeight="1" x14ac:dyDescent="0.2">
      <c r="A70" s="39" t="s">
        <v>304</v>
      </c>
      <c r="B70" s="40"/>
      <c r="C70" s="40" t="s">
        <v>256</v>
      </c>
      <c r="D70" s="41" t="s">
        <v>32</v>
      </c>
      <c r="E70" s="119"/>
      <c r="F70" s="130" t="s">
        <v>221</v>
      </c>
      <c r="G70" s="130" t="s">
        <v>104</v>
      </c>
      <c r="H70" s="130" t="s">
        <v>44</v>
      </c>
      <c r="I70" s="120"/>
      <c r="J70" s="44"/>
      <c r="K70" s="45"/>
      <c r="L70" s="46">
        <v>45908</v>
      </c>
      <c r="M70" s="45"/>
      <c r="N70" s="45">
        <v>45916</v>
      </c>
      <c r="O70" s="75" t="s">
        <v>24</v>
      </c>
      <c r="P70" s="146" t="str">
        <f>IFERROR(VLOOKUP(A70,#REF!, 2, FALSE), "")</f>
        <v/>
      </c>
      <c r="Q70" s="7"/>
    </row>
    <row r="71" spans="1:17" ht="25.5" hidden="1" customHeight="1" x14ac:dyDescent="0.2">
      <c r="A71" s="39" t="s">
        <v>271</v>
      </c>
      <c r="B71" s="40"/>
      <c r="C71" s="40" t="s">
        <v>256</v>
      </c>
      <c r="D71" s="41" t="s">
        <v>32</v>
      </c>
      <c r="E71" s="119"/>
      <c r="F71" s="128" t="s">
        <v>222</v>
      </c>
      <c r="G71" s="128" t="s">
        <v>72</v>
      </c>
      <c r="H71" s="130" t="s">
        <v>44</v>
      </c>
      <c r="I71" s="120"/>
      <c r="J71" s="44"/>
      <c r="K71" s="45"/>
      <c r="L71" s="46">
        <v>45875</v>
      </c>
      <c r="M71" s="45"/>
      <c r="N71" s="45">
        <v>45882</v>
      </c>
      <c r="O71" s="75" t="s">
        <v>24</v>
      </c>
      <c r="P71" s="146" t="str">
        <f>IFERROR(VLOOKUP(A71,#REF!, 2, FALSE), "")</f>
        <v/>
      </c>
      <c r="Q71" s="7"/>
    </row>
    <row r="72" spans="1:17" ht="25.5" hidden="1" customHeight="1" x14ac:dyDescent="0.2">
      <c r="A72" s="39" t="s">
        <v>312</v>
      </c>
      <c r="B72" s="40"/>
      <c r="C72" s="40" t="s">
        <v>256</v>
      </c>
      <c r="D72" s="41" t="s">
        <v>32</v>
      </c>
      <c r="E72" s="119"/>
      <c r="F72" s="128" t="s">
        <v>223</v>
      </c>
      <c r="G72" s="128" t="s">
        <v>72</v>
      </c>
      <c r="H72" s="130" t="s">
        <v>308</v>
      </c>
      <c r="I72" s="120"/>
      <c r="J72" s="44" t="s">
        <v>307</v>
      </c>
      <c r="K72" s="45"/>
      <c r="L72" s="46">
        <v>45973</v>
      </c>
      <c r="M72" s="45"/>
      <c r="N72" s="45">
        <v>45979</v>
      </c>
      <c r="O72" s="75" t="s">
        <v>24</v>
      </c>
      <c r="P72" s="146" t="str">
        <f>IFERROR(VLOOKUP(A72,#REF!, 2, FALSE), "")</f>
        <v/>
      </c>
      <c r="Q72" s="7"/>
    </row>
    <row r="73" spans="1:17" ht="25.5" hidden="1" customHeight="1" x14ac:dyDescent="0.2">
      <c r="A73" s="39" t="s">
        <v>305</v>
      </c>
      <c r="B73" s="40"/>
      <c r="C73" s="40" t="s">
        <v>256</v>
      </c>
      <c r="D73" s="41" t="s">
        <v>32</v>
      </c>
      <c r="E73" s="119"/>
      <c r="F73" s="128" t="s">
        <v>224</v>
      </c>
      <c r="G73" s="128" t="s">
        <v>72</v>
      </c>
      <c r="H73" s="130" t="s">
        <v>44</v>
      </c>
      <c r="I73" s="120"/>
      <c r="J73" s="44"/>
      <c r="K73" s="45"/>
      <c r="L73" s="46">
        <v>45905</v>
      </c>
      <c r="M73" s="45"/>
      <c r="N73" s="45">
        <v>45915</v>
      </c>
      <c r="O73" s="75" t="s">
        <v>24</v>
      </c>
      <c r="P73" s="146" t="str">
        <f>IFERROR(VLOOKUP(A73,#REF!, 2, FALSE), "")</f>
        <v/>
      </c>
      <c r="Q73" s="7"/>
    </row>
    <row r="74" spans="1:17" ht="25.5" hidden="1" customHeight="1" x14ac:dyDescent="0.2">
      <c r="A74" s="39" t="s">
        <v>270</v>
      </c>
      <c r="B74" s="40"/>
      <c r="C74" s="40" t="s">
        <v>256</v>
      </c>
      <c r="D74" s="41" t="s">
        <v>32</v>
      </c>
      <c r="E74" s="119"/>
      <c r="F74" s="130" t="s">
        <v>225</v>
      </c>
      <c r="G74" s="130" t="s">
        <v>248</v>
      </c>
      <c r="H74" s="130" t="s">
        <v>44</v>
      </c>
      <c r="I74" s="120"/>
      <c r="J74" s="44"/>
      <c r="K74" s="45"/>
      <c r="L74" s="46">
        <v>45875</v>
      </c>
      <c r="M74" s="45"/>
      <c r="N74" s="45">
        <v>45882</v>
      </c>
      <c r="O74" s="75" t="s">
        <v>24</v>
      </c>
      <c r="P74" s="146" t="str">
        <f>IFERROR(VLOOKUP(A74,#REF!, 2, FALSE), "")</f>
        <v/>
      </c>
      <c r="Q74" s="7"/>
    </row>
    <row r="75" spans="1:17" ht="25.5" hidden="1" customHeight="1" x14ac:dyDescent="0.2">
      <c r="A75" s="39" t="s">
        <v>286</v>
      </c>
      <c r="B75" s="40"/>
      <c r="C75" s="40" t="s">
        <v>256</v>
      </c>
      <c r="D75" s="41" t="s">
        <v>32</v>
      </c>
      <c r="E75" s="119"/>
      <c r="F75" s="128" t="s">
        <v>226</v>
      </c>
      <c r="G75" s="128" t="s">
        <v>84</v>
      </c>
      <c r="H75" s="128" t="s">
        <v>273</v>
      </c>
      <c r="I75" s="120"/>
      <c r="J75" s="44"/>
      <c r="K75" s="45"/>
      <c r="L75" s="46">
        <v>45881</v>
      </c>
      <c r="M75" s="45"/>
      <c r="N75" s="45">
        <v>45901</v>
      </c>
      <c r="O75" s="75" t="s">
        <v>24</v>
      </c>
      <c r="P75" s="146" t="str">
        <f>IFERROR(VLOOKUP(A75,#REF!, 2, FALSE), "")</f>
        <v/>
      </c>
      <c r="Q75" s="7"/>
    </row>
    <row r="76" spans="1:17" ht="25.5" hidden="1" customHeight="1" x14ac:dyDescent="0.2">
      <c r="A76" s="39" t="s">
        <v>284</v>
      </c>
      <c r="B76" s="40"/>
      <c r="C76" s="40" t="s">
        <v>256</v>
      </c>
      <c r="D76" s="41" t="s">
        <v>32</v>
      </c>
      <c r="E76" s="119"/>
      <c r="F76" s="130" t="s">
        <v>227</v>
      </c>
      <c r="G76" s="130" t="s">
        <v>249</v>
      </c>
      <c r="H76" s="128" t="s">
        <v>44</v>
      </c>
      <c r="I76" s="120"/>
      <c r="J76" s="44"/>
      <c r="K76" s="45"/>
      <c r="L76" s="46">
        <v>45890</v>
      </c>
      <c r="M76" s="45"/>
      <c r="N76" s="45">
        <v>45903</v>
      </c>
      <c r="O76" s="75" t="s">
        <v>24</v>
      </c>
      <c r="P76" s="146" t="str">
        <f>IFERROR(VLOOKUP(A76,#REF!, 2, FALSE), "")</f>
        <v/>
      </c>
      <c r="Q76" s="7"/>
    </row>
    <row r="77" spans="1:17" ht="25.5" hidden="1" customHeight="1" x14ac:dyDescent="0.2">
      <c r="A77" s="39" t="s">
        <v>283</v>
      </c>
      <c r="B77" s="40"/>
      <c r="C77" s="40" t="s">
        <v>256</v>
      </c>
      <c r="D77" s="41" t="s">
        <v>32</v>
      </c>
      <c r="E77" s="119"/>
      <c r="F77" s="130" t="s">
        <v>228</v>
      </c>
      <c r="G77" s="130" t="s">
        <v>249</v>
      </c>
      <c r="H77" s="128" t="s">
        <v>44</v>
      </c>
      <c r="I77" s="120"/>
      <c r="J77" s="44"/>
      <c r="K77" s="45"/>
      <c r="L77" s="46">
        <v>45890</v>
      </c>
      <c r="M77" s="45"/>
      <c r="N77" s="45">
        <v>45903</v>
      </c>
      <c r="O77" s="75" t="s">
        <v>24</v>
      </c>
      <c r="P77" s="146" t="str">
        <f>IFERROR(VLOOKUP(A77,#REF!, 2, FALSE), "")</f>
        <v/>
      </c>
      <c r="Q77" s="7"/>
    </row>
    <row r="78" spans="1:17" ht="25.5" hidden="1" customHeight="1" x14ac:dyDescent="0.2">
      <c r="A78" s="39" t="s">
        <v>285</v>
      </c>
      <c r="B78" s="40"/>
      <c r="C78" s="40" t="s">
        <v>256</v>
      </c>
      <c r="D78" s="41" t="s">
        <v>32</v>
      </c>
      <c r="E78" s="119"/>
      <c r="F78" s="130" t="s">
        <v>229</v>
      </c>
      <c r="G78" s="130" t="s">
        <v>249</v>
      </c>
      <c r="H78" s="128" t="s">
        <v>44</v>
      </c>
      <c r="I78" s="120"/>
      <c r="J78" s="44"/>
      <c r="K78" s="45"/>
      <c r="L78" s="46">
        <v>45890</v>
      </c>
      <c r="M78" s="45"/>
      <c r="N78" s="45">
        <v>45903</v>
      </c>
      <c r="O78" s="75" t="s">
        <v>24</v>
      </c>
      <c r="P78" s="146" t="str">
        <f>IFERROR(VLOOKUP(A78,#REF!, 2, FALSE), "")</f>
        <v/>
      </c>
      <c r="Q78" s="7"/>
    </row>
    <row r="79" spans="1:17" ht="25.5" hidden="1" customHeight="1" x14ac:dyDescent="0.2">
      <c r="A79" s="39" t="s">
        <v>282</v>
      </c>
      <c r="B79" s="40"/>
      <c r="C79" s="40" t="s">
        <v>256</v>
      </c>
      <c r="D79" s="41" t="s">
        <v>32</v>
      </c>
      <c r="E79" s="119"/>
      <c r="F79" s="130" t="s">
        <v>230</v>
      </c>
      <c r="G79" s="130" t="s">
        <v>249</v>
      </c>
      <c r="H79" s="128" t="s">
        <v>44</v>
      </c>
      <c r="I79" s="120"/>
      <c r="J79" s="44"/>
      <c r="K79" s="45"/>
      <c r="L79" s="46">
        <v>45890</v>
      </c>
      <c r="M79" s="45"/>
      <c r="N79" s="45">
        <v>45904</v>
      </c>
      <c r="O79" s="75" t="s">
        <v>24</v>
      </c>
      <c r="P79" s="146" t="str">
        <f>IFERROR(VLOOKUP(A79,#REF!, 2, FALSE), "")</f>
        <v/>
      </c>
      <c r="Q79" s="7"/>
    </row>
    <row r="80" spans="1:17" ht="43.5" hidden="1" customHeight="1" x14ac:dyDescent="0.2">
      <c r="A80" s="39" t="s">
        <v>287</v>
      </c>
      <c r="B80" s="40"/>
      <c r="C80" s="40" t="s">
        <v>256</v>
      </c>
      <c r="D80" s="41" t="s">
        <v>32</v>
      </c>
      <c r="E80" s="119"/>
      <c r="F80" s="130" t="s">
        <v>231</v>
      </c>
      <c r="G80" s="130" t="s">
        <v>250</v>
      </c>
      <c r="H80" s="128" t="s">
        <v>44</v>
      </c>
      <c r="I80" s="120"/>
      <c r="J80" s="44"/>
      <c r="K80" s="45"/>
      <c r="L80" s="46">
        <v>45896</v>
      </c>
      <c r="M80" s="45"/>
      <c r="N80" s="45">
        <v>45908</v>
      </c>
      <c r="O80" s="75" t="s">
        <v>24</v>
      </c>
      <c r="P80" s="146" t="str">
        <f>IFERROR(VLOOKUP(A80,#REF!, 2, FALSE), "")</f>
        <v/>
      </c>
      <c r="Q80" s="7"/>
    </row>
    <row r="81" spans="1:17" ht="25.5" customHeight="1" x14ac:dyDescent="0.2">
      <c r="A81" s="39" t="s">
        <v>272</v>
      </c>
      <c r="B81" s="40"/>
      <c r="C81" s="40" t="s">
        <v>256</v>
      </c>
      <c r="D81" s="41" t="s">
        <v>32</v>
      </c>
      <c r="E81" s="119"/>
      <c r="F81" s="128" t="s">
        <v>232</v>
      </c>
      <c r="G81" s="128" t="s">
        <v>251</v>
      </c>
      <c r="H81" s="128" t="s">
        <v>44</v>
      </c>
      <c r="I81" s="120"/>
      <c r="J81" s="44"/>
      <c r="K81" s="45"/>
      <c r="L81" s="46">
        <v>45875</v>
      </c>
      <c r="M81" s="45"/>
      <c r="N81" s="45">
        <v>45889</v>
      </c>
      <c r="O81" s="75" t="s">
        <v>24</v>
      </c>
      <c r="P81" s="146" t="str">
        <f>IFERROR(VLOOKUP(A81,#REF!, 2, FALSE), "")</f>
        <v/>
      </c>
      <c r="Q81" s="7"/>
    </row>
    <row r="82" spans="1:17" ht="25.5" hidden="1" customHeight="1" x14ac:dyDescent="0.2">
      <c r="A82" s="39" t="s">
        <v>274</v>
      </c>
      <c r="B82" s="40"/>
      <c r="C82" s="40" t="s">
        <v>256</v>
      </c>
      <c r="D82" s="41" t="s">
        <v>32</v>
      </c>
      <c r="E82" s="119"/>
      <c r="F82" s="128" t="s">
        <v>233</v>
      </c>
      <c r="G82" s="128" t="s">
        <v>252</v>
      </c>
      <c r="H82" s="128" t="s">
        <v>275</v>
      </c>
      <c r="I82" s="120"/>
      <c r="J82" s="44"/>
      <c r="K82" s="45"/>
      <c r="L82" s="46">
        <v>45876</v>
      </c>
      <c r="M82" s="45"/>
      <c r="N82" s="45">
        <v>45890</v>
      </c>
      <c r="O82" s="75" t="s">
        <v>24</v>
      </c>
      <c r="P82" s="146" t="str">
        <f>IFERROR(VLOOKUP(A82,#REF!, 2, FALSE), "")</f>
        <v/>
      </c>
      <c r="Q82" s="7"/>
    </row>
    <row r="83" spans="1:17" ht="25.5" hidden="1" customHeight="1" x14ac:dyDescent="0.2">
      <c r="A83" s="39" t="s">
        <v>290</v>
      </c>
      <c r="B83" s="40"/>
      <c r="C83" s="40" t="s">
        <v>256</v>
      </c>
      <c r="D83" s="41" t="s">
        <v>32</v>
      </c>
      <c r="E83" s="119"/>
      <c r="F83" s="130" t="s">
        <v>234</v>
      </c>
      <c r="G83" s="130" t="s">
        <v>86</v>
      </c>
      <c r="H83" s="128" t="s">
        <v>44</v>
      </c>
      <c r="I83" s="120"/>
      <c r="J83" s="44"/>
      <c r="K83" s="45"/>
      <c r="L83" s="46">
        <v>45901</v>
      </c>
      <c r="M83" s="45"/>
      <c r="N83" s="45">
        <v>45903</v>
      </c>
      <c r="O83" s="75" t="s">
        <v>24</v>
      </c>
      <c r="P83" s="146" t="str">
        <f>IFERROR(VLOOKUP(A83,#REF!, 2, FALSE), "")</f>
        <v/>
      </c>
      <c r="Q83" s="7"/>
    </row>
    <row r="84" spans="1:17" ht="25.5" hidden="1" customHeight="1" x14ac:dyDescent="0.2">
      <c r="A84" s="136"/>
      <c r="B84" s="137"/>
      <c r="C84" s="137" t="s">
        <v>256</v>
      </c>
      <c r="D84" s="49" t="s">
        <v>32</v>
      </c>
      <c r="E84" s="138"/>
      <c r="F84" s="139" t="s">
        <v>235</v>
      </c>
      <c r="G84" s="139" t="s">
        <v>253</v>
      </c>
      <c r="H84" s="140"/>
      <c r="I84" s="141"/>
      <c r="J84" s="142" t="s">
        <v>315</v>
      </c>
      <c r="K84" s="54"/>
      <c r="L84" s="143"/>
      <c r="M84" s="54"/>
      <c r="N84" s="54"/>
      <c r="O84" s="144" t="s">
        <v>26</v>
      </c>
      <c r="P84" s="146" t="str">
        <f>IFERROR(VLOOKUP(A84,#REF!, 2, FALSE), "")</f>
        <v/>
      </c>
      <c r="Q84" s="7"/>
    </row>
    <row r="85" spans="1:17" ht="25.5" customHeight="1" x14ac:dyDescent="0.2">
      <c r="A85" s="39" t="s">
        <v>266</v>
      </c>
      <c r="B85" s="40"/>
      <c r="C85" s="40" t="s">
        <v>256</v>
      </c>
      <c r="D85" s="41" t="s">
        <v>32</v>
      </c>
      <c r="E85" s="119"/>
      <c r="F85" s="128" t="s">
        <v>236</v>
      </c>
      <c r="G85" s="128" t="s">
        <v>254</v>
      </c>
      <c r="H85" s="130" t="s">
        <v>257</v>
      </c>
      <c r="I85" s="120"/>
      <c r="J85" s="44"/>
      <c r="K85" s="45"/>
      <c r="L85" s="46">
        <v>45840</v>
      </c>
      <c r="M85" s="45"/>
      <c r="N85" s="45">
        <v>45849</v>
      </c>
      <c r="O85" s="47" t="s">
        <v>24</v>
      </c>
      <c r="P85" s="146" t="str">
        <f>IFERROR(VLOOKUP(A85,#REF!, 2, FALSE), "")</f>
        <v/>
      </c>
      <c r="Q85" s="7"/>
    </row>
    <row r="86" spans="1:17" ht="25.5" hidden="1" customHeight="1" x14ac:dyDescent="0.2">
      <c r="A86" s="39" t="s">
        <v>279</v>
      </c>
      <c r="B86" s="40"/>
      <c r="C86" s="40" t="s">
        <v>256</v>
      </c>
      <c r="D86" s="41" t="s">
        <v>32</v>
      </c>
      <c r="E86" s="119"/>
      <c r="F86" s="130" t="s">
        <v>237</v>
      </c>
      <c r="G86" s="130" t="s">
        <v>255</v>
      </c>
      <c r="H86" s="130" t="s">
        <v>44</v>
      </c>
      <c r="I86" s="120"/>
      <c r="J86" s="44"/>
      <c r="K86" s="45"/>
      <c r="L86" s="46">
        <v>45891</v>
      </c>
      <c r="M86" s="45"/>
      <c r="N86" s="45">
        <v>45905</v>
      </c>
      <c r="O86" s="75" t="s">
        <v>24</v>
      </c>
      <c r="P86" s="146" t="str">
        <f>IFERROR(VLOOKUP(A86,#REF!, 2, FALSE), "")</f>
        <v/>
      </c>
      <c r="Q86" s="7"/>
    </row>
    <row r="87" spans="1:17" ht="25.5" hidden="1" customHeight="1" x14ac:dyDescent="0.2">
      <c r="A87" s="28"/>
      <c r="B87" s="29"/>
      <c r="C87" s="29"/>
      <c r="D87" s="8"/>
      <c r="E87" s="30"/>
      <c r="F87" s="122"/>
      <c r="G87" s="125"/>
      <c r="H87" s="127"/>
      <c r="I87" s="29"/>
      <c r="J87" s="32"/>
      <c r="K87" s="33"/>
      <c r="L87" s="34"/>
      <c r="M87" s="33"/>
      <c r="N87" s="33"/>
      <c r="O87" s="33"/>
      <c r="P87" s="145" t="str">
        <f>IFERROR(VLOOKUP(A87,#REF!, 2, FALSE), "")</f>
        <v/>
      </c>
      <c r="Q87" s="7"/>
    </row>
    <row r="88" spans="1:17" ht="25.5" hidden="1" customHeight="1" x14ac:dyDescent="0.2">
      <c r="A88" s="28"/>
      <c r="B88" s="29"/>
      <c r="C88" s="29"/>
      <c r="D88" s="8"/>
      <c r="E88" s="30"/>
      <c r="F88" s="8"/>
      <c r="G88" s="29"/>
      <c r="H88" s="31"/>
      <c r="I88" s="29"/>
      <c r="J88" s="32"/>
      <c r="K88" s="33"/>
      <c r="L88" s="34"/>
      <c r="M88" s="33"/>
      <c r="N88" s="33"/>
      <c r="O88" s="33"/>
      <c r="P88" s="145" t="str">
        <f>IFERROR(VLOOKUP(A88,#REF!, 2, FALSE), "")</f>
        <v/>
      </c>
      <c r="Q88" s="7"/>
    </row>
    <row r="89" spans="1:17" ht="25.5" hidden="1" customHeight="1" x14ac:dyDescent="0.2">
      <c r="A89" s="28"/>
      <c r="B89" s="29"/>
      <c r="C89" s="29"/>
      <c r="D89" s="8"/>
      <c r="E89" s="30"/>
      <c r="F89" s="8"/>
      <c r="G89" s="29"/>
      <c r="H89" s="31"/>
      <c r="I89" s="29"/>
      <c r="J89" s="32"/>
      <c r="K89" s="33"/>
      <c r="L89" s="34"/>
      <c r="M89" s="33"/>
      <c r="N89" s="33"/>
      <c r="O89" s="33"/>
      <c r="P89" s="145" t="str">
        <f>IFERROR(VLOOKUP(A89,#REF!, 2, FALSE), "")</f>
        <v/>
      </c>
      <c r="Q89" s="7"/>
    </row>
    <row r="90" spans="1:17" ht="25.5" hidden="1" customHeight="1" x14ac:dyDescent="0.2">
      <c r="A90" s="28"/>
      <c r="B90" s="29"/>
      <c r="C90" s="29"/>
      <c r="D90" s="8"/>
      <c r="E90" s="30"/>
      <c r="F90" s="8"/>
      <c r="G90" s="29"/>
      <c r="H90" s="31"/>
      <c r="I90" s="29"/>
      <c r="J90" s="32"/>
      <c r="K90" s="33"/>
      <c r="L90" s="34"/>
      <c r="M90" s="33"/>
      <c r="N90" s="33"/>
      <c r="O90" s="33"/>
      <c r="P90" s="145" t="str">
        <f>IFERROR(VLOOKUP(A90,#REF!, 2, FALSE), "")</f>
        <v/>
      </c>
      <c r="Q90" s="7"/>
    </row>
    <row r="91" spans="1:17" ht="25.5" hidden="1" customHeight="1" x14ac:dyDescent="0.2">
      <c r="A91" s="28"/>
      <c r="B91" s="29"/>
      <c r="C91" s="29"/>
      <c r="D91" s="8"/>
      <c r="E91" s="30"/>
      <c r="F91" s="8"/>
      <c r="G91" s="29"/>
      <c r="H91" s="31"/>
      <c r="I91" s="29"/>
      <c r="J91" s="32"/>
      <c r="K91" s="33"/>
      <c r="L91" s="34"/>
      <c r="M91" s="33"/>
      <c r="N91" s="33"/>
      <c r="O91" s="33"/>
      <c r="P91" s="145" t="str">
        <f>IFERROR(VLOOKUP(A91,#REF!, 2, FALSE), "")</f>
        <v/>
      </c>
      <c r="Q91" s="7"/>
    </row>
    <row r="92" spans="1:17" ht="25.5" hidden="1" customHeight="1" x14ac:dyDescent="0.2">
      <c r="A92" s="28"/>
      <c r="B92" s="29"/>
      <c r="C92" s="29"/>
      <c r="D92" s="8"/>
      <c r="E92" s="30"/>
      <c r="F92" s="8"/>
      <c r="G92" s="29"/>
      <c r="H92" s="31"/>
      <c r="I92" s="29"/>
      <c r="J92" s="32"/>
      <c r="K92" s="33"/>
      <c r="L92" s="34"/>
      <c r="M92" s="33"/>
      <c r="N92" s="33"/>
      <c r="O92" s="33"/>
      <c r="P92" s="145" t="str">
        <f>IFERROR(VLOOKUP(A92,#REF!, 2, FALSE), "")</f>
        <v/>
      </c>
      <c r="Q92" s="7"/>
    </row>
    <row r="93" spans="1:17" ht="25.5" hidden="1" customHeight="1" x14ac:dyDescent="0.2">
      <c r="A93" s="28"/>
      <c r="B93" s="29"/>
      <c r="C93" s="29"/>
      <c r="D93" s="8"/>
      <c r="E93" s="30"/>
      <c r="F93" s="8"/>
      <c r="G93" s="29"/>
      <c r="H93" s="31"/>
      <c r="I93" s="29"/>
      <c r="J93" s="32"/>
      <c r="K93" s="33"/>
      <c r="L93" s="34"/>
      <c r="M93" s="33"/>
      <c r="N93" s="33"/>
      <c r="O93" s="33"/>
      <c r="P93" s="145" t="str">
        <f>IFERROR(VLOOKUP(A93,#REF!, 2, FALSE), "")</f>
        <v/>
      </c>
      <c r="Q93" s="7"/>
    </row>
    <row r="94" spans="1:17" ht="25.5" hidden="1" customHeight="1" x14ac:dyDescent="0.2">
      <c r="A94" s="28"/>
      <c r="B94" s="29"/>
      <c r="C94" s="29"/>
      <c r="D94" s="8"/>
      <c r="E94" s="30"/>
      <c r="F94" s="8"/>
      <c r="G94" s="29"/>
      <c r="H94" s="31"/>
      <c r="I94" s="29"/>
      <c r="J94" s="32"/>
      <c r="K94" s="33"/>
      <c r="L94" s="34"/>
      <c r="M94" s="33"/>
      <c r="N94" s="33"/>
      <c r="O94" s="33"/>
      <c r="P94" s="145" t="str">
        <f>IFERROR(VLOOKUP(A94,#REF!, 2, FALSE), "")</f>
        <v/>
      </c>
      <c r="Q94" s="7"/>
    </row>
    <row r="95" spans="1:17" ht="25.5" hidden="1" customHeight="1" x14ac:dyDescent="0.2">
      <c r="A95" s="28"/>
      <c r="B95" s="29"/>
      <c r="C95" s="29"/>
      <c r="D95" s="8"/>
      <c r="E95" s="30"/>
      <c r="F95" s="8"/>
      <c r="G95" s="29"/>
      <c r="H95" s="31"/>
      <c r="I95" s="29"/>
      <c r="J95" s="32"/>
      <c r="K95" s="33"/>
      <c r="L95" s="34"/>
      <c r="M95" s="33"/>
      <c r="N95" s="33"/>
      <c r="O95" s="33"/>
      <c r="P95" s="145" t="str">
        <f>IFERROR(VLOOKUP(A95,#REF!, 2, FALSE), "")</f>
        <v/>
      </c>
      <c r="Q95" s="7"/>
    </row>
    <row r="96" spans="1:17" ht="25.5" hidden="1" customHeight="1" x14ac:dyDescent="0.2">
      <c r="A96" s="28"/>
      <c r="B96" s="29"/>
      <c r="C96" s="29"/>
      <c r="D96" s="8"/>
      <c r="E96" s="30"/>
      <c r="F96" s="8"/>
      <c r="G96" s="29"/>
      <c r="H96" s="31"/>
      <c r="I96" s="29"/>
      <c r="J96" s="32"/>
      <c r="K96" s="33"/>
      <c r="L96" s="34"/>
      <c r="M96" s="33"/>
      <c r="N96" s="33"/>
      <c r="O96" s="33"/>
      <c r="P96" s="145" t="str">
        <f>IFERROR(VLOOKUP(A96,#REF!, 2, FALSE), "")</f>
        <v/>
      </c>
      <c r="Q96" s="7"/>
    </row>
    <row r="97" spans="1:17" ht="25.5" hidden="1" customHeight="1" x14ac:dyDescent="0.2">
      <c r="A97" s="28"/>
      <c r="B97" s="29"/>
      <c r="C97" s="29"/>
      <c r="D97" s="8"/>
      <c r="E97" s="30"/>
      <c r="F97" s="8"/>
      <c r="G97" s="29"/>
      <c r="H97" s="31"/>
      <c r="I97" s="29"/>
      <c r="J97" s="32"/>
      <c r="K97" s="33"/>
      <c r="L97" s="34"/>
      <c r="M97" s="33"/>
      <c r="N97" s="33"/>
      <c r="O97" s="33"/>
      <c r="P97" s="145" t="str">
        <f>IFERROR(VLOOKUP(A97,#REF!, 2, FALSE), "")</f>
        <v/>
      </c>
      <c r="Q97" s="7"/>
    </row>
    <row r="98" spans="1:17" ht="25.5" hidden="1" customHeight="1" x14ac:dyDescent="0.2">
      <c r="A98" s="28"/>
      <c r="B98" s="29"/>
      <c r="C98" s="29"/>
      <c r="D98" s="8"/>
      <c r="E98" s="30"/>
      <c r="F98" s="8"/>
      <c r="G98" s="29"/>
      <c r="H98" s="31"/>
      <c r="I98" s="29"/>
      <c r="J98" s="32"/>
      <c r="K98" s="33"/>
      <c r="L98" s="34"/>
      <c r="M98" s="33"/>
      <c r="N98" s="33"/>
      <c r="O98" s="33"/>
      <c r="P98" s="145" t="str">
        <f>IFERROR(VLOOKUP(A98,#REF!, 2, FALSE), "")</f>
        <v/>
      </c>
      <c r="Q98" s="7"/>
    </row>
    <row r="99" spans="1:17" ht="25.5" hidden="1" customHeight="1" x14ac:dyDescent="0.2">
      <c r="A99" s="28"/>
      <c r="B99" s="29"/>
      <c r="C99" s="29"/>
      <c r="D99" s="8"/>
      <c r="E99" s="30"/>
      <c r="F99" s="8"/>
      <c r="G99" s="29"/>
      <c r="H99" s="31"/>
      <c r="I99" s="29"/>
      <c r="J99" s="32"/>
      <c r="K99" s="33"/>
      <c r="L99" s="34"/>
      <c r="M99" s="33"/>
      <c r="N99" s="33"/>
      <c r="O99" s="33"/>
      <c r="P99" s="145" t="str">
        <f>IFERROR(VLOOKUP(A99,#REF!, 2, FALSE), "")</f>
        <v/>
      </c>
      <c r="Q99" s="7"/>
    </row>
    <row r="100" spans="1:17" ht="25.5" hidden="1" customHeight="1" x14ac:dyDescent="0.2">
      <c r="A100" s="28"/>
      <c r="B100" s="29"/>
      <c r="C100" s="29"/>
      <c r="D100" s="8"/>
      <c r="E100" s="30"/>
      <c r="F100" s="8"/>
      <c r="G100" s="29"/>
      <c r="H100" s="31"/>
      <c r="I100" s="29"/>
      <c r="J100" s="32"/>
      <c r="K100" s="33"/>
      <c r="L100" s="34"/>
      <c r="M100" s="33"/>
      <c r="N100" s="33"/>
      <c r="O100" s="33"/>
      <c r="P100" s="145" t="str">
        <f>IFERROR(VLOOKUP(A100,#REF!, 2, FALSE), "")</f>
        <v/>
      </c>
      <c r="Q100" s="7"/>
    </row>
  </sheetData>
  <autoFilter ref="A1:P100" xr:uid="{9D77E832-5AD1-4F25-98C4-0362F66E0CC1}">
    <filterColumn colId="15">
      <customFilters>
        <customFilter operator="notEqual" val=" "/>
      </customFilters>
    </filterColumn>
  </autoFilter>
  <phoneticPr fontId="16" type="noConversion"/>
  <pageMargins left="0.70866141732283472" right="0.70866141732283472" top="0.74803149606299213" bottom="0.74803149606299213" header="0.31496062992125984" footer="0.31496062992125984"/>
  <pageSetup paperSize="8" scale="81" fitToHeight="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B7154A-66C0-4BDE-A218-A6E2CB693900}">
          <x14:formula1>
            <xm:f>Sheet1!$A$1:$A$4</xm:f>
          </x14:formula1>
          <xm:sqref>O2:O86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BE50-D5DF-437D-9BCA-B68AF8FE2C5F}">
  <sheetPr>
    <pageSetUpPr fitToPage="1"/>
  </sheetPr>
  <dimension ref="A1:R91"/>
  <sheetViews>
    <sheetView workbookViewId="0">
      <pane ySplit="1" topLeftCell="A2" activePane="bottomLeft" state="frozen"/>
      <selection pane="bottomLeft" activeCell="I18" sqref="I18"/>
    </sheetView>
    <sheetView workbookViewId="1"/>
  </sheetViews>
  <sheetFormatPr defaultRowHeight="12.75" x14ac:dyDescent="0.2"/>
  <cols>
    <col min="1" max="1" width="13.6640625" customWidth="1"/>
    <col min="2" max="3" width="18.83203125" customWidth="1"/>
    <col min="4" max="4" width="16.1640625" customWidth="1"/>
    <col min="5" max="5" width="24.33203125" customWidth="1"/>
    <col min="6" max="6" width="24.33203125" style="11" customWidth="1"/>
    <col min="7" max="7" width="24" customWidth="1"/>
    <col min="8" max="8" width="11.33203125" customWidth="1"/>
    <col min="9" max="9" width="33.6640625" customWidth="1"/>
    <col min="10" max="10" width="33" customWidth="1"/>
    <col min="12" max="12" width="18.1640625" style="1" customWidth="1"/>
    <col min="13" max="13" width="14.83203125" style="1" customWidth="1"/>
    <col min="14" max="14" width="11.6640625" customWidth="1"/>
    <col min="15" max="15" width="11.33203125" style="1" customWidth="1"/>
    <col min="16" max="16" width="13.1640625" style="1" customWidth="1"/>
    <col min="17" max="17" width="17.83203125" customWidth="1"/>
  </cols>
  <sheetData>
    <row r="1" spans="1:17" ht="25.5" x14ac:dyDescent="0.2">
      <c r="A1" s="3" t="s">
        <v>5</v>
      </c>
      <c r="B1" s="5" t="s">
        <v>0</v>
      </c>
      <c r="C1" s="5" t="s">
        <v>15</v>
      </c>
      <c r="D1" s="5" t="s">
        <v>22</v>
      </c>
      <c r="E1" s="4" t="s">
        <v>14</v>
      </c>
      <c r="F1" s="4" t="s">
        <v>21</v>
      </c>
      <c r="G1" s="5" t="s">
        <v>1</v>
      </c>
      <c r="H1" s="71" t="s">
        <v>2</v>
      </c>
      <c r="I1" s="5" t="s">
        <v>3</v>
      </c>
      <c r="J1" s="5" t="s">
        <v>4</v>
      </c>
      <c r="K1" s="5" t="s">
        <v>9</v>
      </c>
      <c r="L1" s="9" t="s">
        <v>16</v>
      </c>
      <c r="M1" s="72" t="s">
        <v>11</v>
      </c>
      <c r="N1" s="73" t="s">
        <v>30</v>
      </c>
      <c r="O1" s="72" t="s">
        <v>12</v>
      </c>
      <c r="P1" s="72" t="s">
        <v>20</v>
      </c>
      <c r="Q1" s="74" t="s">
        <v>28</v>
      </c>
    </row>
    <row r="2" spans="1:17" x14ac:dyDescent="0.2">
      <c r="A2" s="65" t="s">
        <v>117</v>
      </c>
      <c r="B2" s="41"/>
      <c r="C2" s="41" t="s">
        <v>38</v>
      </c>
      <c r="D2" s="41" t="s">
        <v>39</v>
      </c>
      <c r="E2" s="41" t="s">
        <v>32</v>
      </c>
      <c r="F2" s="42"/>
      <c r="G2" s="66" t="s">
        <v>120</v>
      </c>
      <c r="H2" s="67" t="s">
        <v>55</v>
      </c>
      <c r="I2" s="68"/>
      <c r="J2" s="41"/>
      <c r="K2" s="41"/>
      <c r="L2" s="76"/>
      <c r="M2" s="45">
        <v>45594</v>
      </c>
      <c r="N2" s="69">
        <v>45604</v>
      </c>
      <c r="O2" s="45"/>
      <c r="P2" s="45">
        <v>45616</v>
      </c>
      <c r="Q2" s="47" t="s">
        <v>24</v>
      </c>
    </row>
    <row r="3" spans="1:17" x14ac:dyDescent="0.2">
      <c r="A3" s="65" t="s">
        <v>119</v>
      </c>
      <c r="B3" s="41"/>
      <c r="C3" s="41" t="s">
        <v>160</v>
      </c>
      <c r="D3" s="41" t="s">
        <v>39</v>
      </c>
      <c r="E3" s="41" t="s">
        <v>13</v>
      </c>
      <c r="F3" s="42"/>
      <c r="G3" s="66" t="s">
        <v>118</v>
      </c>
      <c r="H3" s="67" t="s">
        <v>31</v>
      </c>
      <c r="I3" s="68"/>
      <c r="J3" s="41"/>
      <c r="K3" s="41"/>
      <c r="L3" s="76"/>
      <c r="M3" s="45">
        <v>45630</v>
      </c>
      <c r="N3" s="69">
        <v>45631</v>
      </c>
      <c r="O3" s="45"/>
      <c r="P3" s="45">
        <v>45636</v>
      </c>
      <c r="Q3" s="75" t="s">
        <v>24</v>
      </c>
    </row>
    <row r="4" spans="1:17" x14ac:dyDescent="0.2">
      <c r="A4" s="65" t="s">
        <v>121</v>
      </c>
      <c r="B4" s="41"/>
      <c r="C4" s="41" t="s">
        <v>38</v>
      </c>
      <c r="D4" s="41" t="s">
        <v>39</v>
      </c>
      <c r="E4" s="41" t="s">
        <v>32</v>
      </c>
      <c r="F4" s="42"/>
      <c r="G4" s="66" t="s">
        <v>122</v>
      </c>
      <c r="H4" s="67" t="s">
        <v>161</v>
      </c>
      <c r="I4" s="68"/>
      <c r="J4" s="41"/>
      <c r="K4" s="41"/>
      <c r="L4" s="66"/>
      <c r="M4" s="45">
        <v>45643</v>
      </c>
      <c r="N4" s="69">
        <v>45649</v>
      </c>
      <c r="O4" s="70"/>
      <c r="P4" s="45">
        <v>45307</v>
      </c>
      <c r="Q4" s="75" t="s">
        <v>24</v>
      </c>
    </row>
    <row r="5" spans="1:17" ht="38.25" x14ac:dyDescent="0.2">
      <c r="A5" s="48"/>
      <c r="B5" s="49"/>
      <c r="C5" s="49" t="s">
        <v>166</v>
      </c>
      <c r="D5" s="49" t="s">
        <v>39</v>
      </c>
      <c r="E5" s="49" t="s">
        <v>13</v>
      </c>
      <c r="F5" s="50"/>
      <c r="G5" s="51" t="s">
        <v>164</v>
      </c>
      <c r="H5" s="52" t="s">
        <v>51</v>
      </c>
      <c r="I5" s="53"/>
      <c r="J5" s="49" t="s">
        <v>167</v>
      </c>
      <c r="K5" s="49"/>
      <c r="L5" s="51"/>
      <c r="M5" s="54"/>
      <c r="N5" s="55"/>
      <c r="O5" s="56"/>
      <c r="P5" s="54"/>
      <c r="Q5" s="92" t="s">
        <v>26</v>
      </c>
    </row>
    <row r="6" spans="1:17" x14ac:dyDescent="0.2">
      <c r="A6" s="65" t="s">
        <v>124</v>
      </c>
      <c r="B6" s="41"/>
      <c r="C6" s="41" t="s">
        <v>163</v>
      </c>
      <c r="D6" s="41" t="s">
        <v>39</v>
      </c>
      <c r="E6" s="41" t="s">
        <v>32</v>
      </c>
      <c r="F6" s="42"/>
      <c r="G6" s="66" t="s">
        <v>123</v>
      </c>
      <c r="H6" s="67" t="s">
        <v>162</v>
      </c>
      <c r="I6" s="68"/>
      <c r="J6" s="41"/>
      <c r="K6" s="41"/>
      <c r="L6" s="66"/>
      <c r="M6" s="45">
        <v>45673</v>
      </c>
      <c r="N6" s="69">
        <v>45677</v>
      </c>
      <c r="O6" s="45"/>
      <c r="P6" s="45">
        <v>45679</v>
      </c>
      <c r="Q6" s="75" t="s">
        <v>24</v>
      </c>
    </row>
    <row r="7" spans="1:17" ht="83.25" customHeight="1" x14ac:dyDescent="0.2">
      <c r="A7" s="48"/>
      <c r="B7" s="49"/>
      <c r="C7" s="49" t="s">
        <v>38</v>
      </c>
      <c r="D7" s="49" t="s">
        <v>39</v>
      </c>
      <c r="E7" s="49" t="s">
        <v>13</v>
      </c>
      <c r="F7" s="50"/>
      <c r="G7" s="51" t="s">
        <v>165</v>
      </c>
      <c r="H7" s="52" t="s">
        <v>168</v>
      </c>
      <c r="I7" s="53"/>
      <c r="J7" s="49" t="s">
        <v>169</v>
      </c>
      <c r="K7" s="49"/>
      <c r="L7" s="51"/>
      <c r="M7" s="54">
        <v>45666</v>
      </c>
      <c r="N7" s="55"/>
      <c r="O7" s="56"/>
      <c r="P7" s="54"/>
      <c r="Q7" s="92" t="s">
        <v>26</v>
      </c>
    </row>
    <row r="8" spans="1:17" x14ac:dyDescent="0.2">
      <c r="A8" s="65" t="s">
        <v>179</v>
      </c>
      <c r="B8" s="41"/>
      <c r="C8" s="41" t="s">
        <v>160</v>
      </c>
      <c r="D8" s="41" t="s">
        <v>39</v>
      </c>
      <c r="E8" s="41" t="s">
        <v>13</v>
      </c>
      <c r="F8" s="42"/>
      <c r="G8" s="66" t="s">
        <v>177</v>
      </c>
      <c r="H8" s="67" t="s">
        <v>178</v>
      </c>
      <c r="I8" s="68"/>
      <c r="J8" s="41"/>
      <c r="K8" s="41"/>
      <c r="L8" s="66"/>
      <c r="M8" s="45">
        <v>45716</v>
      </c>
      <c r="N8" s="69">
        <v>45719</v>
      </c>
      <c r="O8" s="45"/>
      <c r="P8" s="45">
        <v>45722</v>
      </c>
      <c r="Q8" s="47" t="s">
        <v>24</v>
      </c>
    </row>
    <row r="9" spans="1:17" ht="57.75" customHeight="1" x14ac:dyDescent="0.2">
      <c r="A9" s="65" t="s">
        <v>197</v>
      </c>
      <c r="B9" s="41"/>
      <c r="C9" s="41" t="s">
        <v>166</v>
      </c>
      <c r="D9" s="41" t="s">
        <v>39</v>
      </c>
      <c r="E9" s="41" t="s">
        <v>13</v>
      </c>
      <c r="F9" s="42"/>
      <c r="G9" s="66" t="s">
        <v>196</v>
      </c>
      <c r="H9" s="67" t="s">
        <v>168</v>
      </c>
      <c r="I9" s="68"/>
      <c r="J9" s="41"/>
      <c r="K9" s="41"/>
      <c r="L9" s="66"/>
      <c r="M9" s="45">
        <v>45786</v>
      </c>
      <c r="N9" s="69">
        <v>45790</v>
      </c>
      <c r="O9" s="45"/>
      <c r="P9" s="45">
        <v>45793</v>
      </c>
      <c r="Q9" s="47" t="s">
        <v>24</v>
      </c>
    </row>
    <row r="10" spans="1:17" ht="17.25" customHeight="1" x14ac:dyDescent="0.2">
      <c r="A10" s="65" t="s">
        <v>199</v>
      </c>
      <c r="B10" s="41"/>
      <c r="C10" s="41" t="s">
        <v>160</v>
      </c>
      <c r="D10" s="41" t="s">
        <v>39</v>
      </c>
      <c r="E10" s="41" t="s">
        <v>32</v>
      </c>
      <c r="F10" s="42"/>
      <c r="G10" s="66" t="s">
        <v>198</v>
      </c>
      <c r="H10" s="67" t="s">
        <v>43</v>
      </c>
      <c r="I10" s="68"/>
      <c r="J10" s="41"/>
      <c r="K10" s="41"/>
      <c r="L10" s="66"/>
      <c r="M10" s="45">
        <v>45786</v>
      </c>
      <c r="N10" s="69">
        <v>45791</v>
      </c>
      <c r="O10" s="45"/>
      <c r="P10" s="45">
        <v>45796</v>
      </c>
      <c r="Q10" s="47" t="s">
        <v>24</v>
      </c>
    </row>
    <row r="11" spans="1:17" x14ac:dyDescent="0.2">
      <c r="A11" s="65" t="s">
        <v>200</v>
      </c>
      <c r="B11" s="41"/>
      <c r="C11" s="41" t="s">
        <v>160</v>
      </c>
      <c r="D11" s="41" t="s">
        <v>39</v>
      </c>
      <c r="E11" s="41" t="s">
        <v>32</v>
      </c>
      <c r="F11" s="42"/>
      <c r="G11" s="66" t="s">
        <v>201</v>
      </c>
      <c r="H11" s="67" t="s">
        <v>202</v>
      </c>
      <c r="I11" s="68"/>
      <c r="J11" s="41"/>
      <c r="K11" s="41"/>
      <c r="L11" s="66"/>
      <c r="M11" s="45">
        <v>45786</v>
      </c>
      <c r="N11" s="69">
        <v>45790</v>
      </c>
      <c r="O11" s="45"/>
      <c r="P11" s="45">
        <v>45793</v>
      </c>
      <c r="Q11" s="47" t="s">
        <v>24</v>
      </c>
    </row>
    <row r="12" spans="1:17" ht="63.75" x14ac:dyDescent="0.2">
      <c r="A12" s="65" t="s">
        <v>292</v>
      </c>
      <c r="B12" s="41"/>
      <c r="C12" s="41" t="s">
        <v>160</v>
      </c>
      <c r="D12" s="41" t="s">
        <v>39</v>
      </c>
      <c r="E12" s="41" t="s">
        <v>13</v>
      </c>
      <c r="F12" s="42"/>
      <c r="G12" s="66" t="s">
        <v>94</v>
      </c>
      <c r="H12" s="67" t="s">
        <v>278</v>
      </c>
      <c r="I12" s="68"/>
      <c r="J12" s="41" t="s">
        <v>277</v>
      </c>
      <c r="K12" s="41"/>
      <c r="L12" s="66"/>
      <c r="M12" s="45">
        <v>45896</v>
      </c>
      <c r="N12" s="69">
        <v>45897</v>
      </c>
      <c r="O12" s="45"/>
      <c r="P12" s="45">
        <v>45901</v>
      </c>
      <c r="Q12" s="47" t="s">
        <v>24</v>
      </c>
    </row>
    <row r="13" spans="1:17" ht="25.5" x14ac:dyDescent="0.2">
      <c r="A13" s="65" t="s">
        <v>314</v>
      </c>
      <c r="B13" s="41"/>
      <c r="C13" s="41" t="s">
        <v>38</v>
      </c>
      <c r="D13" s="41" t="s">
        <v>39</v>
      </c>
      <c r="E13" s="41" t="s">
        <v>13</v>
      </c>
      <c r="F13" s="42"/>
      <c r="G13" s="66" t="s">
        <v>309</v>
      </c>
      <c r="H13" s="67" t="s">
        <v>310</v>
      </c>
      <c r="I13" s="68"/>
      <c r="J13" s="41" t="s">
        <v>313</v>
      </c>
      <c r="K13" s="41"/>
      <c r="L13" s="66"/>
      <c r="M13" s="45">
        <v>45954</v>
      </c>
      <c r="N13" s="69">
        <v>45964</v>
      </c>
      <c r="O13" s="70"/>
      <c r="P13" s="45">
        <v>45973</v>
      </c>
      <c r="Q13" s="75" t="s">
        <v>24</v>
      </c>
    </row>
    <row r="14" spans="1:17" x14ac:dyDescent="0.2">
      <c r="A14" s="6"/>
      <c r="B14" s="8"/>
      <c r="C14" s="8"/>
      <c r="D14" s="8"/>
      <c r="E14" s="8"/>
      <c r="F14" s="30"/>
      <c r="G14" s="35"/>
      <c r="H14" s="38"/>
      <c r="I14" s="37"/>
      <c r="J14" s="8"/>
      <c r="K14" s="8"/>
      <c r="L14" s="35"/>
      <c r="M14" s="33"/>
      <c r="N14" s="36"/>
      <c r="O14" s="12"/>
      <c r="P14" s="33"/>
      <c r="Q14" s="26"/>
    </row>
    <row r="15" spans="1:17" x14ac:dyDescent="0.2">
      <c r="A15" s="6"/>
      <c r="B15" s="8"/>
      <c r="C15" s="8"/>
      <c r="D15" s="8"/>
      <c r="E15" s="8"/>
      <c r="F15" s="30"/>
      <c r="G15" s="35"/>
      <c r="H15" s="38"/>
      <c r="I15" s="37"/>
      <c r="J15" s="8"/>
      <c r="K15" s="8"/>
      <c r="L15" s="35"/>
      <c r="M15" s="33"/>
      <c r="N15" s="36"/>
      <c r="O15" s="33"/>
      <c r="P15" s="33"/>
      <c r="Q15" s="96"/>
    </row>
    <row r="16" spans="1:17" x14ac:dyDescent="0.2">
      <c r="A16" s="6"/>
      <c r="B16" s="8"/>
      <c r="C16" s="8"/>
      <c r="D16" s="8"/>
      <c r="E16" s="8"/>
      <c r="F16" s="30"/>
      <c r="G16" s="35"/>
      <c r="H16" s="38"/>
      <c r="I16" s="37"/>
      <c r="J16" s="8"/>
      <c r="K16" s="8"/>
      <c r="L16" s="35"/>
      <c r="M16" s="33"/>
      <c r="N16" s="36"/>
      <c r="O16" s="12"/>
      <c r="P16" s="33"/>
      <c r="Q16" s="26"/>
    </row>
    <row r="17" spans="1:17" x14ac:dyDescent="0.2">
      <c r="A17" s="6"/>
      <c r="B17" s="8"/>
      <c r="C17" s="8"/>
      <c r="D17" s="8"/>
      <c r="E17" s="8"/>
      <c r="F17" s="30"/>
      <c r="G17" s="35"/>
      <c r="H17" s="38"/>
      <c r="I17" s="37"/>
      <c r="J17" s="8"/>
      <c r="K17" s="8"/>
      <c r="L17" s="35"/>
      <c r="M17" s="33"/>
      <c r="N17" s="36"/>
      <c r="O17" s="33"/>
      <c r="P17" s="33"/>
      <c r="Q17" s="26"/>
    </row>
    <row r="18" spans="1:17" ht="78.75" customHeight="1" x14ac:dyDescent="0.2">
      <c r="A18" s="6"/>
      <c r="B18" s="8"/>
      <c r="C18" s="8"/>
      <c r="D18" s="8"/>
      <c r="E18" s="8"/>
      <c r="F18" s="30"/>
      <c r="G18" s="35"/>
      <c r="H18" s="38"/>
      <c r="I18" s="37"/>
      <c r="J18" s="8"/>
      <c r="K18" s="8"/>
      <c r="L18" s="35"/>
      <c r="M18" s="33"/>
      <c r="N18" s="36"/>
      <c r="O18" s="33"/>
      <c r="P18" s="33"/>
      <c r="Q18" s="96"/>
    </row>
    <row r="19" spans="1:17" x14ac:dyDescent="0.2">
      <c r="A19" s="6"/>
      <c r="B19" s="8"/>
      <c r="C19" s="8"/>
      <c r="D19" s="8"/>
      <c r="E19" s="8"/>
      <c r="F19" s="30"/>
      <c r="G19" s="35"/>
      <c r="H19" s="38"/>
      <c r="I19" s="37"/>
      <c r="J19" s="8"/>
      <c r="K19" s="8"/>
      <c r="L19" s="35"/>
      <c r="M19" s="33"/>
      <c r="N19" s="36"/>
      <c r="O19" s="33"/>
      <c r="P19" s="33"/>
      <c r="Q19" s="96"/>
    </row>
    <row r="20" spans="1:17" x14ac:dyDescent="0.2">
      <c r="A20" s="6"/>
      <c r="B20" s="8"/>
      <c r="C20" s="8"/>
      <c r="D20" s="8"/>
      <c r="E20" s="8"/>
      <c r="F20" s="30"/>
      <c r="G20" s="35"/>
      <c r="H20" s="38"/>
      <c r="I20" s="37"/>
      <c r="J20" s="8"/>
      <c r="K20" s="8"/>
      <c r="L20" s="35"/>
      <c r="M20" s="33"/>
      <c r="N20" s="36"/>
      <c r="O20" s="33"/>
      <c r="P20" s="33"/>
      <c r="Q20" s="26"/>
    </row>
    <row r="21" spans="1:17" x14ac:dyDescent="0.2">
      <c r="A21" s="6"/>
      <c r="B21" s="8"/>
      <c r="C21" s="8"/>
      <c r="D21" s="8"/>
      <c r="E21" s="8"/>
      <c r="F21" s="30"/>
      <c r="G21" s="35"/>
      <c r="H21" s="38"/>
      <c r="I21" s="37"/>
      <c r="J21" s="8"/>
      <c r="K21" s="8"/>
      <c r="L21" s="35"/>
      <c r="M21" s="33"/>
      <c r="N21" s="36"/>
      <c r="O21" s="12"/>
      <c r="P21" s="33"/>
      <c r="Q21" s="26"/>
    </row>
    <row r="22" spans="1:17" ht="33" customHeight="1" x14ac:dyDescent="0.2">
      <c r="A22" s="6"/>
      <c r="B22" s="8"/>
      <c r="C22" s="8"/>
      <c r="D22" s="8"/>
      <c r="E22" s="8"/>
      <c r="F22" s="30"/>
      <c r="G22" s="35"/>
      <c r="H22" s="38"/>
      <c r="I22" s="37"/>
      <c r="J22" s="8"/>
      <c r="K22" s="8"/>
      <c r="L22" s="35"/>
      <c r="M22" s="33"/>
      <c r="N22" s="36"/>
      <c r="O22" s="33"/>
      <c r="P22" s="33"/>
      <c r="Q22" s="96"/>
    </row>
    <row r="23" spans="1:17" ht="33" customHeight="1" x14ac:dyDescent="0.2">
      <c r="A23" s="6"/>
      <c r="B23" s="8"/>
      <c r="C23" s="8"/>
      <c r="D23" s="8"/>
      <c r="E23" s="8"/>
      <c r="F23" s="30"/>
      <c r="G23" s="35"/>
      <c r="H23" s="38"/>
      <c r="I23" s="37"/>
      <c r="J23" s="8"/>
      <c r="K23" s="8"/>
      <c r="L23" s="35"/>
      <c r="M23" s="33"/>
      <c r="N23" s="36"/>
      <c r="O23" s="33"/>
      <c r="P23" s="33"/>
      <c r="Q23" s="96"/>
    </row>
    <row r="24" spans="1:17" x14ac:dyDescent="0.2">
      <c r="A24" s="6"/>
      <c r="B24" s="8"/>
      <c r="C24" s="8"/>
      <c r="D24" s="8"/>
      <c r="E24" s="8"/>
      <c r="F24" s="30"/>
      <c r="G24" s="35"/>
      <c r="H24" s="38"/>
      <c r="I24" s="37"/>
      <c r="J24" s="8"/>
      <c r="K24" s="8"/>
      <c r="L24" s="35"/>
      <c r="M24" s="33"/>
      <c r="N24" s="36"/>
      <c r="O24" s="33"/>
      <c r="P24" s="33"/>
      <c r="Q24" s="96"/>
    </row>
    <row r="25" spans="1:17" x14ac:dyDescent="0.2">
      <c r="A25" s="6"/>
      <c r="B25" s="8"/>
      <c r="C25" s="8"/>
      <c r="D25" s="8"/>
      <c r="E25" s="8"/>
      <c r="F25" s="30"/>
      <c r="G25" s="35"/>
      <c r="H25" s="38"/>
      <c r="I25" s="37"/>
      <c r="J25" s="8"/>
      <c r="K25" s="8"/>
      <c r="L25" s="35"/>
      <c r="M25" s="33"/>
      <c r="N25" s="36"/>
      <c r="O25" s="12"/>
      <c r="P25" s="33"/>
      <c r="Q25" s="96"/>
    </row>
    <row r="26" spans="1:17" x14ac:dyDescent="0.2">
      <c r="A26" s="6"/>
      <c r="B26" s="8"/>
      <c r="C26" s="8"/>
      <c r="D26" s="8"/>
      <c r="E26" s="8"/>
      <c r="F26" s="30"/>
      <c r="G26" s="35"/>
      <c r="H26" s="38"/>
      <c r="I26" s="37"/>
      <c r="J26" s="8"/>
      <c r="K26" s="8"/>
      <c r="L26" s="35"/>
      <c r="M26" s="33"/>
      <c r="N26" s="36"/>
      <c r="O26" s="33"/>
      <c r="P26" s="33"/>
      <c r="Q26" s="96"/>
    </row>
    <row r="27" spans="1:17" x14ac:dyDescent="0.2">
      <c r="A27" s="6"/>
      <c r="B27" s="8"/>
      <c r="C27" s="8"/>
      <c r="D27" s="8"/>
      <c r="E27" s="8"/>
      <c r="F27" s="30"/>
      <c r="G27" s="35"/>
      <c r="H27" s="38"/>
      <c r="I27" s="37"/>
      <c r="J27" s="8"/>
      <c r="K27" s="8"/>
      <c r="L27" s="35"/>
      <c r="M27" s="33"/>
      <c r="N27" s="36"/>
      <c r="O27" s="33"/>
      <c r="P27" s="33"/>
      <c r="Q27" s="96"/>
    </row>
    <row r="28" spans="1:17" x14ac:dyDescent="0.2">
      <c r="A28" s="6"/>
      <c r="B28" s="8"/>
      <c r="C28" s="8"/>
      <c r="D28" s="8"/>
      <c r="E28" s="8"/>
      <c r="F28" s="30"/>
      <c r="G28" s="35"/>
      <c r="H28" s="38"/>
      <c r="I28" s="37"/>
      <c r="J28" s="8"/>
      <c r="K28" s="8"/>
      <c r="L28" s="35"/>
      <c r="M28" s="12"/>
      <c r="N28" s="36"/>
      <c r="O28" s="12"/>
      <c r="P28" s="33"/>
      <c r="Q28" s="26"/>
    </row>
    <row r="29" spans="1:17" x14ac:dyDescent="0.2">
      <c r="A29" s="6"/>
      <c r="B29" s="8"/>
      <c r="C29" s="8"/>
      <c r="D29" s="8"/>
      <c r="E29" s="8"/>
      <c r="F29" s="30"/>
      <c r="G29" s="35"/>
      <c r="H29" s="38"/>
      <c r="I29" s="37"/>
      <c r="J29" s="8"/>
      <c r="K29" s="8"/>
      <c r="L29" s="35"/>
      <c r="M29" s="33"/>
      <c r="N29" s="36"/>
      <c r="O29" s="33"/>
      <c r="P29" s="33"/>
      <c r="Q29" s="96"/>
    </row>
    <row r="30" spans="1:17" x14ac:dyDescent="0.2">
      <c r="A30" s="6"/>
      <c r="B30" s="8"/>
      <c r="C30" s="8"/>
      <c r="D30" s="8"/>
      <c r="E30" s="8"/>
      <c r="F30" s="30"/>
      <c r="G30" s="35"/>
      <c r="H30" s="38"/>
      <c r="I30" s="37"/>
      <c r="J30" s="8"/>
      <c r="K30" s="8"/>
      <c r="L30" s="35"/>
      <c r="M30" s="33"/>
      <c r="N30" s="36"/>
      <c r="O30" s="33"/>
      <c r="P30" s="33"/>
      <c r="Q30" s="96"/>
    </row>
    <row r="31" spans="1:17" x14ac:dyDescent="0.2">
      <c r="A31" s="6"/>
      <c r="B31" s="8"/>
      <c r="C31" s="8"/>
      <c r="D31" s="8"/>
      <c r="E31" s="8"/>
      <c r="F31" s="30"/>
      <c r="G31" s="35"/>
      <c r="H31" s="38"/>
      <c r="I31" s="37"/>
      <c r="J31" s="8"/>
      <c r="K31" s="8"/>
      <c r="L31" s="35"/>
      <c r="M31" s="33"/>
      <c r="N31" s="36"/>
      <c r="O31" s="33"/>
      <c r="P31" s="33"/>
      <c r="Q31" s="96"/>
    </row>
    <row r="32" spans="1:17" x14ac:dyDescent="0.2">
      <c r="A32" s="6"/>
      <c r="B32" s="8"/>
      <c r="C32" s="8"/>
      <c r="D32" s="8"/>
      <c r="E32" s="8"/>
      <c r="F32" s="30"/>
      <c r="G32" s="35"/>
      <c r="H32" s="38"/>
      <c r="I32" s="37"/>
      <c r="J32" s="8"/>
      <c r="K32" s="8"/>
      <c r="L32" s="35"/>
      <c r="M32" s="33"/>
      <c r="N32" s="36"/>
      <c r="O32" s="33"/>
      <c r="P32" s="33"/>
      <c r="Q32" s="96"/>
    </row>
    <row r="33" spans="1:18" x14ac:dyDescent="0.2">
      <c r="A33" s="6"/>
      <c r="B33" s="8"/>
      <c r="C33" s="8"/>
      <c r="D33" s="8"/>
      <c r="E33" s="8"/>
      <c r="F33" s="30"/>
      <c r="G33" s="35"/>
      <c r="H33" s="38"/>
      <c r="I33" s="37"/>
      <c r="J33" s="8"/>
      <c r="K33" s="8"/>
      <c r="L33" s="35"/>
      <c r="M33" s="33"/>
      <c r="N33" s="36"/>
      <c r="O33" s="12"/>
      <c r="P33" s="33"/>
      <c r="Q33" s="26"/>
    </row>
    <row r="34" spans="1:18" x14ac:dyDescent="0.2">
      <c r="A34" s="6"/>
      <c r="B34" s="8"/>
      <c r="C34" s="8"/>
      <c r="D34" s="8"/>
      <c r="E34" s="8"/>
      <c r="F34" s="30"/>
      <c r="G34" s="35"/>
      <c r="H34" s="38"/>
      <c r="I34" s="37"/>
      <c r="J34" s="8"/>
      <c r="K34" s="8"/>
      <c r="L34" s="35"/>
      <c r="M34" s="33"/>
      <c r="N34" s="36"/>
      <c r="O34" s="33"/>
      <c r="P34" s="33"/>
      <c r="Q34" s="96"/>
    </row>
    <row r="35" spans="1:18" x14ac:dyDescent="0.2">
      <c r="A35" s="6"/>
      <c r="B35" s="8"/>
      <c r="C35" s="8"/>
      <c r="D35" s="8"/>
      <c r="E35" s="8"/>
      <c r="F35" s="30"/>
      <c r="G35" s="35"/>
      <c r="H35" s="38"/>
      <c r="I35" s="37"/>
      <c r="J35" s="8"/>
      <c r="K35" s="8"/>
      <c r="L35" s="35"/>
      <c r="M35" s="33"/>
      <c r="N35" s="36"/>
      <c r="O35" s="33"/>
      <c r="P35" s="33"/>
      <c r="Q35" s="96"/>
    </row>
    <row r="36" spans="1:18" x14ac:dyDescent="0.2">
      <c r="A36" s="6"/>
      <c r="B36" s="8"/>
      <c r="C36" s="8"/>
      <c r="D36" s="8"/>
      <c r="E36" s="8"/>
      <c r="F36" s="30"/>
      <c r="G36" s="35"/>
      <c r="H36" s="38"/>
      <c r="I36" s="37"/>
      <c r="J36" s="8"/>
      <c r="K36" s="8"/>
      <c r="L36" s="35"/>
      <c r="M36" s="33"/>
      <c r="N36" s="36"/>
      <c r="O36" s="33"/>
      <c r="P36" s="33"/>
      <c r="Q36" s="96"/>
    </row>
    <row r="37" spans="1:18" x14ac:dyDescent="0.2">
      <c r="A37" s="6"/>
      <c r="B37" s="8"/>
      <c r="C37" s="8"/>
      <c r="D37" s="8"/>
      <c r="E37" s="8"/>
      <c r="F37" s="30"/>
      <c r="G37" s="35"/>
      <c r="H37" s="38"/>
      <c r="I37" s="37"/>
      <c r="J37" s="8"/>
      <c r="K37" s="8"/>
      <c r="L37" s="35"/>
      <c r="M37" s="33"/>
      <c r="N37" s="36"/>
      <c r="O37" s="33"/>
      <c r="P37" s="33"/>
      <c r="Q37" s="26"/>
    </row>
    <row r="38" spans="1:18" x14ac:dyDescent="0.2">
      <c r="A38" s="6"/>
      <c r="B38" s="8"/>
      <c r="C38" s="8"/>
      <c r="D38" s="8"/>
      <c r="E38" s="8"/>
      <c r="F38" s="30"/>
      <c r="G38" s="35"/>
      <c r="H38" s="38"/>
      <c r="I38" s="37"/>
      <c r="J38" s="8"/>
      <c r="K38" s="8"/>
      <c r="L38" s="35"/>
      <c r="M38" s="33"/>
      <c r="N38" s="36"/>
      <c r="O38" s="33"/>
      <c r="P38" s="33"/>
      <c r="Q38" s="26"/>
    </row>
    <row r="39" spans="1:18" ht="25.5" customHeight="1" x14ac:dyDescent="0.2">
      <c r="A39" s="6"/>
      <c r="B39" s="8"/>
      <c r="C39" s="8"/>
      <c r="D39" s="8"/>
      <c r="E39" s="8"/>
      <c r="F39" s="30"/>
      <c r="G39" s="35"/>
      <c r="H39" s="38"/>
      <c r="I39" s="37"/>
      <c r="J39" s="8"/>
      <c r="K39" s="8"/>
      <c r="L39" s="35"/>
      <c r="M39" s="33"/>
      <c r="N39" s="36"/>
      <c r="O39" s="12"/>
      <c r="P39" s="33"/>
      <c r="Q39" s="26"/>
    </row>
    <row r="40" spans="1:18" s="13" customFormat="1" x14ac:dyDescent="0.2">
      <c r="A40" s="6"/>
      <c r="B40" s="8"/>
      <c r="C40" s="8"/>
      <c r="D40" s="8"/>
      <c r="E40" s="8"/>
      <c r="F40" s="30"/>
      <c r="G40" s="35"/>
      <c r="H40" s="38"/>
      <c r="I40" s="37"/>
      <c r="J40" s="8"/>
      <c r="K40" s="8"/>
      <c r="L40" s="35"/>
      <c r="M40" s="33"/>
      <c r="N40" s="36"/>
      <c r="O40" s="33"/>
      <c r="P40" s="33"/>
      <c r="Q40" s="26"/>
      <c r="R40"/>
    </row>
    <row r="41" spans="1:18" s="13" customFormat="1" x14ac:dyDescent="0.2">
      <c r="A41" s="6"/>
      <c r="B41" s="8"/>
      <c r="C41" s="8"/>
      <c r="D41" s="8"/>
      <c r="E41" s="8"/>
      <c r="F41" s="30"/>
      <c r="G41" s="35"/>
      <c r="H41" s="38"/>
      <c r="I41" s="37"/>
      <c r="J41" s="8"/>
      <c r="K41" s="8"/>
      <c r="L41" s="35"/>
      <c r="M41" s="33"/>
      <c r="N41" s="36"/>
      <c r="O41" s="33"/>
      <c r="P41" s="33"/>
      <c r="Q41" s="26"/>
      <c r="R41"/>
    </row>
    <row r="42" spans="1:18" s="13" customFormat="1" x14ac:dyDescent="0.2">
      <c r="A42" s="6"/>
      <c r="B42" s="8"/>
      <c r="C42" s="8"/>
      <c r="D42" s="8"/>
      <c r="E42" s="8"/>
      <c r="F42" s="30"/>
      <c r="G42" s="35"/>
      <c r="H42" s="38"/>
      <c r="I42" s="37"/>
      <c r="J42" s="8"/>
      <c r="K42" s="8"/>
      <c r="L42" s="35"/>
      <c r="M42" s="33"/>
      <c r="N42" s="36"/>
      <c r="O42" s="12"/>
      <c r="P42" s="33"/>
      <c r="Q42" s="26"/>
      <c r="R42"/>
    </row>
    <row r="43" spans="1:18" s="13" customFormat="1" x14ac:dyDescent="0.2">
      <c r="A43" s="6"/>
      <c r="B43" s="8"/>
      <c r="C43" s="8"/>
      <c r="D43" s="8"/>
      <c r="E43" s="8"/>
      <c r="F43" s="30"/>
      <c r="G43" s="35"/>
      <c r="H43" s="38"/>
      <c r="I43" s="37"/>
      <c r="J43" s="8"/>
      <c r="K43" s="8"/>
      <c r="L43" s="35"/>
      <c r="M43" s="33"/>
      <c r="N43" s="36"/>
      <c r="O43" s="33"/>
      <c r="P43" s="33"/>
      <c r="Q43" s="26"/>
      <c r="R43"/>
    </row>
    <row r="44" spans="1:18" s="13" customFormat="1" x14ac:dyDescent="0.2">
      <c r="A44" s="6"/>
      <c r="B44" s="8"/>
      <c r="C44" s="8"/>
      <c r="D44" s="8"/>
      <c r="E44" s="8"/>
      <c r="F44" s="30"/>
      <c r="G44" s="35"/>
      <c r="H44" s="38"/>
      <c r="I44" s="37"/>
      <c r="J44" s="8"/>
      <c r="K44" s="8"/>
      <c r="L44" s="35"/>
      <c r="M44" s="33"/>
      <c r="N44" s="36"/>
      <c r="O44" s="33"/>
      <c r="P44" s="33"/>
      <c r="Q44" s="26"/>
      <c r="R44"/>
    </row>
    <row r="45" spans="1:18" x14ac:dyDescent="0.2">
      <c r="A45" s="6"/>
      <c r="B45" s="8"/>
      <c r="C45" s="8"/>
      <c r="D45" s="8"/>
      <c r="E45" s="8"/>
      <c r="F45" s="30"/>
      <c r="G45" s="35"/>
      <c r="H45" s="38"/>
      <c r="I45" s="37"/>
      <c r="J45" s="8"/>
      <c r="K45" s="8"/>
      <c r="L45" s="35"/>
      <c r="M45" s="33"/>
      <c r="N45" s="36"/>
      <c r="O45" s="12"/>
      <c r="P45" s="33"/>
      <c r="Q45" s="26"/>
    </row>
    <row r="46" spans="1:18" x14ac:dyDescent="0.2">
      <c r="A46" s="6"/>
      <c r="B46" s="8"/>
      <c r="C46" s="8"/>
      <c r="D46" s="8"/>
      <c r="E46" s="8"/>
      <c r="F46" s="30"/>
      <c r="G46" s="35"/>
      <c r="H46" s="38"/>
      <c r="I46" s="37"/>
      <c r="J46" s="8"/>
      <c r="K46" s="8"/>
      <c r="L46" s="35"/>
      <c r="M46" s="12"/>
      <c r="N46" s="36"/>
      <c r="O46" s="12"/>
      <c r="P46" s="33"/>
      <c r="Q46" s="26"/>
    </row>
    <row r="47" spans="1:18" ht="15" x14ac:dyDescent="0.2">
      <c r="A47" s="26"/>
      <c r="B47" s="26"/>
      <c r="C47" s="77"/>
      <c r="D47" s="26"/>
      <c r="E47" s="96"/>
      <c r="F47" s="101"/>
      <c r="G47" s="97"/>
      <c r="H47" s="98"/>
      <c r="I47" s="99"/>
      <c r="J47" s="97"/>
      <c r="K47" s="26"/>
      <c r="L47" s="26"/>
      <c r="M47" s="100"/>
      <c r="N47" s="100"/>
      <c r="O47" s="100"/>
      <c r="P47" s="26"/>
      <c r="Q47" s="96"/>
    </row>
    <row r="48" spans="1:18" x14ac:dyDescent="0.2">
      <c r="A48" s="6"/>
      <c r="B48" s="8"/>
      <c r="C48" s="8"/>
      <c r="D48" s="8"/>
      <c r="E48" s="8"/>
      <c r="F48" s="30"/>
      <c r="G48" s="35"/>
      <c r="H48" s="38"/>
      <c r="I48" s="37"/>
      <c r="J48" s="8"/>
      <c r="K48" s="8"/>
      <c r="L48" s="35"/>
      <c r="M48" s="33"/>
      <c r="N48" s="36"/>
      <c r="O48" s="33"/>
      <c r="P48" s="33"/>
      <c r="Q48" s="26"/>
    </row>
    <row r="49" spans="1:17" x14ac:dyDescent="0.2">
      <c r="A49" s="6"/>
      <c r="B49" s="8"/>
      <c r="C49" s="8"/>
      <c r="D49" s="8"/>
      <c r="E49" s="8"/>
      <c r="F49" s="30"/>
      <c r="G49" s="26"/>
      <c r="H49" s="26"/>
      <c r="I49" s="37"/>
      <c r="J49" s="8"/>
      <c r="K49" s="8"/>
      <c r="L49" s="35"/>
      <c r="M49" s="33"/>
      <c r="N49" s="36"/>
      <c r="O49" s="33"/>
      <c r="P49" s="33"/>
      <c r="Q49" s="26"/>
    </row>
    <row r="50" spans="1:17" x14ac:dyDescent="0.2">
      <c r="A50" s="6"/>
      <c r="B50" s="8"/>
      <c r="C50" s="8"/>
      <c r="D50" s="8"/>
      <c r="E50" s="8"/>
      <c r="F50" s="30"/>
      <c r="G50" s="35"/>
      <c r="H50" s="38"/>
      <c r="I50" s="37"/>
      <c r="J50" s="8"/>
      <c r="K50" s="8"/>
      <c r="L50" s="35"/>
      <c r="M50" s="33"/>
      <c r="N50" s="36"/>
      <c r="O50" s="12"/>
      <c r="P50" s="33"/>
      <c r="Q50" s="26"/>
    </row>
    <row r="51" spans="1:17" x14ac:dyDescent="0.2">
      <c r="A51" s="6"/>
      <c r="B51" s="8"/>
      <c r="C51" s="8"/>
      <c r="D51" s="8"/>
      <c r="E51" s="8"/>
      <c r="F51" s="30"/>
      <c r="G51" s="35"/>
      <c r="H51" s="38"/>
      <c r="I51" s="37"/>
      <c r="J51" s="8"/>
      <c r="K51" s="8"/>
      <c r="L51" s="35"/>
      <c r="M51" s="33"/>
      <c r="N51" s="36"/>
      <c r="O51" s="12"/>
      <c r="P51" s="33"/>
      <c r="Q51" s="26"/>
    </row>
    <row r="52" spans="1:17" x14ac:dyDescent="0.2">
      <c r="A52" s="6"/>
      <c r="B52" s="8"/>
      <c r="C52" s="8"/>
      <c r="D52" s="8"/>
      <c r="E52" s="8"/>
      <c r="F52" s="30"/>
      <c r="G52" s="35"/>
      <c r="H52" s="38"/>
      <c r="I52" s="37"/>
      <c r="J52" s="8"/>
      <c r="K52" s="8"/>
      <c r="L52" s="35"/>
      <c r="M52" s="12"/>
      <c r="N52" s="36"/>
      <c r="O52" s="12"/>
      <c r="P52" s="33"/>
      <c r="Q52" s="26"/>
    </row>
    <row r="53" spans="1:17" x14ac:dyDescent="0.2">
      <c r="A53" s="6"/>
      <c r="B53" s="8"/>
      <c r="C53" s="8"/>
      <c r="D53" s="8"/>
      <c r="E53" s="8"/>
      <c r="F53" s="30"/>
      <c r="G53" s="35"/>
      <c r="H53" s="38"/>
      <c r="I53" s="37"/>
      <c r="J53" s="8"/>
      <c r="K53" s="8"/>
      <c r="L53" s="35"/>
      <c r="M53" s="33"/>
      <c r="N53" s="36"/>
      <c r="O53" s="12"/>
      <c r="P53" s="33"/>
      <c r="Q53" s="26"/>
    </row>
    <row r="54" spans="1:17" x14ac:dyDescent="0.2">
      <c r="A54" s="6"/>
      <c r="B54" s="8"/>
      <c r="C54" s="8"/>
      <c r="D54" s="8"/>
      <c r="E54" s="8"/>
      <c r="F54" s="30"/>
      <c r="G54" s="35"/>
      <c r="H54" s="38"/>
      <c r="I54" s="37"/>
      <c r="J54" s="93"/>
      <c r="K54" s="8"/>
      <c r="L54" s="35"/>
      <c r="M54" s="33"/>
      <c r="N54" s="36"/>
      <c r="O54" s="12"/>
      <c r="P54" s="33"/>
      <c r="Q54" s="26"/>
    </row>
    <row r="55" spans="1:17" x14ac:dyDescent="0.2">
      <c r="A55" s="6"/>
      <c r="B55" s="8"/>
      <c r="C55" s="8"/>
      <c r="D55" s="8"/>
      <c r="E55" s="8"/>
      <c r="F55" s="30"/>
      <c r="G55" s="35"/>
      <c r="H55" s="38"/>
      <c r="I55" s="37"/>
      <c r="J55" s="93"/>
      <c r="K55" s="8"/>
      <c r="L55" s="35"/>
      <c r="M55" s="33"/>
      <c r="N55" s="36"/>
      <c r="O55" s="12"/>
      <c r="P55" s="33"/>
      <c r="Q55" s="26"/>
    </row>
    <row r="56" spans="1:17" x14ac:dyDescent="0.2">
      <c r="A56" s="6"/>
      <c r="B56" s="8"/>
      <c r="C56" s="8"/>
      <c r="D56" s="8"/>
      <c r="E56" s="8"/>
      <c r="F56" s="30"/>
      <c r="G56" s="35"/>
      <c r="H56" s="38"/>
      <c r="I56" s="37"/>
      <c r="J56" s="8"/>
      <c r="K56" s="8"/>
      <c r="L56" s="35"/>
      <c r="M56" s="12"/>
      <c r="N56" s="36"/>
      <c r="O56" s="33"/>
      <c r="P56" s="33"/>
      <c r="Q56" s="96"/>
    </row>
    <row r="57" spans="1:17" x14ac:dyDescent="0.2">
      <c r="A57" s="6"/>
      <c r="B57" s="8"/>
      <c r="C57" s="8"/>
      <c r="D57" s="8"/>
      <c r="E57" s="8"/>
      <c r="F57" s="30"/>
      <c r="G57" s="35"/>
      <c r="H57" s="38"/>
      <c r="I57" s="37"/>
      <c r="J57" s="8"/>
      <c r="K57" s="8"/>
      <c r="L57" s="35"/>
      <c r="M57" s="12"/>
      <c r="N57" s="36"/>
      <c r="O57" s="33"/>
      <c r="P57" s="33"/>
      <c r="Q57" s="96"/>
    </row>
    <row r="58" spans="1:17" x14ac:dyDescent="0.2">
      <c r="A58" s="6"/>
      <c r="B58" s="8"/>
      <c r="C58" s="8"/>
      <c r="D58" s="8"/>
      <c r="E58" s="8"/>
      <c r="F58" s="30"/>
      <c r="G58" s="35"/>
      <c r="H58" s="38"/>
      <c r="I58" s="37"/>
      <c r="J58" s="8"/>
      <c r="K58" s="8"/>
      <c r="L58" s="35"/>
      <c r="M58" s="33"/>
      <c r="N58" s="36"/>
      <c r="O58" s="12"/>
      <c r="P58" s="33"/>
      <c r="Q58" s="26"/>
    </row>
    <row r="59" spans="1:17" x14ac:dyDescent="0.2">
      <c r="A59" s="6"/>
      <c r="B59" s="8"/>
      <c r="C59" s="8"/>
      <c r="D59" s="8"/>
      <c r="E59" s="8"/>
      <c r="F59" s="30"/>
      <c r="G59" s="35"/>
      <c r="H59" s="38"/>
      <c r="I59" s="37"/>
      <c r="J59" s="8"/>
      <c r="K59" s="8"/>
      <c r="L59" s="35"/>
      <c r="M59" s="12"/>
      <c r="N59" s="36"/>
      <c r="O59" s="12"/>
      <c r="P59" s="33"/>
      <c r="Q59" s="26"/>
    </row>
    <row r="60" spans="1:17" x14ac:dyDescent="0.2">
      <c r="A60" s="6"/>
      <c r="B60" s="8"/>
      <c r="C60" s="8"/>
      <c r="D60" s="8"/>
      <c r="E60" s="8"/>
      <c r="F60" s="30"/>
      <c r="G60" s="35"/>
      <c r="H60" s="38"/>
      <c r="I60" s="37"/>
      <c r="J60" s="8"/>
      <c r="K60" s="8"/>
      <c r="L60" s="35"/>
      <c r="M60" s="12"/>
      <c r="N60" s="36"/>
      <c r="O60" s="12"/>
      <c r="P60" s="33"/>
      <c r="Q60" s="26"/>
    </row>
    <row r="61" spans="1:17" x14ac:dyDescent="0.2">
      <c r="A61" s="6"/>
      <c r="B61" s="8"/>
      <c r="C61" s="8"/>
      <c r="D61" s="8"/>
      <c r="E61" s="8"/>
      <c r="F61" s="30"/>
      <c r="G61" s="35"/>
      <c r="H61" s="38"/>
      <c r="I61" s="37"/>
      <c r="J61" s="8"/>
      <c r="K61" s="8"/>
      <c r="L61" s="35"/>
      <c r="M61" s="12"/>
      <c r="N61" s="36"/>
      <c r="O61" s="12"/>
      <c r="P61" s="33"/>
      <c r="Q61" s="26"/>
    </row>
    <row r="62" spans="1:17" x14ac:dyDescent="0.2">
      <c r="A62" s="6"/>
      <c r="B62" s="8"/>
      <c r="C62" s="8"/>
      <c r="D62" s="8"/>
      <c r="E62" s="8"/>
      <c r="F62" s="30"/>
      <c r="G62" s="35"/>
      <c r="H62" s="38"/>
      <c r="I62" s="37"/>
      <c r="J62" s="8"/>
      <c r="K62" s="8"/>
      <c r="L62" s="35"/>
      <c r="M62" s="12"/>
      <c r="N62" s="36"/>
      <c r="O62" s="12"/>
      <c r="P62" s="33"/>
      <c r="Q62" s="26"/>
    </row>
    <row r="63" spans="1:17" x14ac:dyDescent="0.2">
      <c r="A63" s="6"/>
      <c r="B63" s="8"/>
      <c r="C63" s="8"/>
      <c r="D63" s="8"/>
      <c r="E63" s="8"/>
      <c r="F63" s="30"/>
      <c r="G63" s="35"/>
      <c r="H63" s="38"/>
      <c r="I63" s="37"/>
      <c r="J63" s="8"/>
      <c r="K63" s="8"/>
      <c r="L63" s="35"/>
      <c r="M63" s="12"/>
      <c r="N63" s="36"/>
      <c r="O63" s="12"/>
      <c r="P63" s="33"/>
      <c r="Q63" s="26"/>
    </row>
    <row r="64" spans="1:17" x14ac:dyDescent="0.2">
      <c r="A64" s="6"/>
      <c r="B64" s="8"/>
      <c r="C64" s="8"/>
      <c r="D64" s="8"/>
      <c r="E64" s="8"/>
      <c r="F64" s="30"/>
      <c r="G64" s="35"/>
      <c r="H64" s="38"/>
      <c r="I64" s="37"/>
      <c r="J64" s="8"/>
      <c r="K64" s="8"/>
      <c r="L64" s="35"/>
      <c r="M64" s="12"/>
      <c r="N64" s="36"/>
      <c r="O64" s="12"/>
      <c r="P64" s="33"/>
      <c r="Q64" s="26"/>
    </row>
    <row r="65" spans="1:17" x14ac:dyDescent="0.2">
      <c r="A65" s="6"/>
      <c r="B65" s="8"/>
      <c r="C65" s="8"/>
      <c r="D65" s="8"/>
      <c r="E65" s="8"/>
      <c r="F65" s="30"/>
      <c r="G65" s="35"/>
      <c r="H65" s="38"/>
      <c r="I65" s="37"/>
      <c r="J65" s="8"/>
      <c r="K65" s="8"/>
      <c r="L65" s="35"/>
      <c r="M65" s="12"/>
      <c r="N65" s="36"/>
      <c r="O65" s="12"/>
      <c r="P65" s="33"/>
      <c r="Q65" s="26"/>
    </row>
    <row r="66" spans="1:17" x14ac:dyDescent="0.2">
      <c r="A66" s="6"/>
      <c r="B66" s="8"/>
      <c r="C66" s="8"/>
      <c r="D66" s="8"/>
      <c r="E66" s="8"/>
      <c r="F66" s="30"/>
      <c r="G66" s="35"/>
      <c r="H66" s="38"/>
      <c r="I66" s="37"/>
      <c r="J66" s="8"/>
      <c r="K66" s="8"/>
      <c r="L66" s="35"/>
      <c r="M66" s="12"/>
      <c r="N66" s="36"/>
      <c r="O66" s="12"/>
      <c r="P66" s="33"/>
      <c r="Q66" s="26"/>
    </row>
    <row r="67" spans="1:17" x14ac:dyDescent="0.2">
      <c r="A67" s="6"/>
      <c r="B67" s="8"/>
      <c r="C67" s="8"/>
      <c r="D67" s="8"/>
      <c r="E67" s="8"/>
      <c r="F67" s="30"/>
      <c r="G67" s="35"/>
      <c r="H67" s="38"/>
      <c r="I67" s="37"/>
      <c r="J67" s="8"/>
      <c r="K67" s="8"/>
      <c r="L67" s="35"/>
      <c r="M67" s="12"/>
      <c r="N67" s="36"/>
      <c r="O67" s="12"/>
      <c r="P67" s="33"/>
      <c r="Q67" s="26"/>
    </row>
    <row r="68" spans="1:17" x14ac:dyDescent="0.2">
      <c r="A68" s="6"/>
      <c r="B68" s="8"/>
      <c r="C68" s="8"/>
      <c r="D68" s="8"/>
      <c r="E68" s="8"/>
      <c r="F68" s="30"/>
      <c r="G68" s="35"/>
      <c r="H68" s="38"/>
      <c r="I68" s="37"/>
      <c r="J68" s="8"/>
      <c r="K68" s="8"/>
      <c r="L68" s="35"/>
      <c r="M68" s="12"/>
      <c r="N68" s="36"/>
      <c r="O68" s="12"/>
      <c r="P68" s="33"/>
      <c r="Q68" s="26"/>
    </row>
    <row r="69" spans="1:17" x14ac:dyDescent="0.2">
      <c r="A69" s="6"/>
      <c r="B69" s="8"/>
      <c r="C69" s="8"/>
      <c r="D69" s="8"/>
      <c r="E69" s="8"/>
      <c r="F69" s="30"/>
      <c r="G69" s="35"/>
      <c r="H69" s="38"/>
      <c r="I69" s="37"/>
      <c r="J69" s="8"/>
      <c r="K69" s="8"/>
      <c r="L69" s="35"/>
      <c r="M69" s="12"/>
      <c r="N69" s="36"/>
      <c r="O69" s="12"/>
      <c r="P69" s="33"/>
      <c r="Q69" s="26"/>
    </row>
    <row r="70" spans="1:17" x14ac:dyDescent="0.2">
      <c r="A70" s="6"/>
      <c r="B70" s="8"/>
      <c r="C70" s="8"/>
      <c r="D70" s="8"/>
      <c r="E70" s="8"/>
      <c r="F70" s="30"/>
      <c r="G70" s="35"/>
      <c r="H70" s="38"/>
      <c r="I70" s="37"/>
      <c r="J70" s="8"/>
      <c r="K70" s="8"/>
      <c r="L70" s="35"/>
      <c r="M70" s="12"/>
      <c r="N70" s="36"/>
      <c r="O70" s="12"/>
      <c r="P70" s="33"/>
      <c r="Q70" s="26"/>
    </row>
    <row r="71" spans="1:17" x14ac:dyDescent="0.2">
      <c r="A71" s="6"/>
      <c r="B71" s="8"/>
      <c r="C71" s="8"/>
      <c r="D71" s="8"/>
      <c r="E71" s="8"/>
      <c r="F71" s="30"/>
      <c r="G71" s="35"/>
      <c r="H71" s="38"/>
      <c r="I71" s="37"/>
      <c r="J71" s="8"/>
      <c r="K71" s="8"/>
      <c r="L71" s="35"/>
      <c r="M71" s="12"/>
      <c r="N71" s="36"/>
      <c r="O71" s="12"/>
      <c r="P71" s="33"/>
      <c r="Q71" s="26"/>
    </row>
    <row r="72" spans="1:17" x14ac:dyDescent="0.2">
      <c r="A72" s="6"/>
      <c r="B72" s="8"/>
      <c r="C72" s="8"/>
      <c r="D72" s="8"/>
      <c r="E72" s="8"/>
      <c r="F72" s="30"/>
      <c r="G72" s="35"/>
      <c r="H72" s="38"/>
      <c r="I72" s="37"/>
      <c r="J72" s="8"/>
      <c r="K72" s="8"/>
      <c r="L72" s="35"/>
      <c r="M72" s="12"/>
      <c r="N72" s="36"/>
      <c r="O72" s="12"/>
      <c r="P72" s="33"/>
      <c r="Q72" s="26"/>
    </row>
    <row r="73" spans="1:17" x14ac:dyDescent="0.2">
      <c r="A73" s="6"/>
      <c r="B73" s="8"/>
      <c r="C73" s="8"/>
      <c r="D73" s="8"/>
      <c r="E73" s="8"/>
      <c r="F73" s="30"/>
      <c r="G73" s="35"/>
      <c r="H73" s="38"/>
      <c r="I73" s="37"/>
      <c r="J73" s="8"/>
      <c r="K73" s="8"/>
      <c r="L73" s="35"/>
      <c r="M73" s="12"/>
      <c r="N73" s="36"/>
      <c r="O73" s="12"/>
      <c r="P73" s="33"/>
      <c r="Q73" s="26"/>
    </row>
    <row r="74" spans="1:17" x14ac:dyDescent="0.2">
      <c r="A74" s="6"/>
      <c r="B74" s="8"/>
      <c r="C74" s="8"/>
      <c r="D74" s="8"/>
      <c r="E74" s="8"/>
      <c r="F74" s="30"/>
      <c r="G74" s="35"/>
      <c r="H74" s="38"/>
      <c r="I74" s="37"/>
      <c r="J74" s="8"/>
      <c r="K74" s="8"/>
      <c r="L74" s="35"/>
      <c r="M74" s="12"/>
      <c r="N74" s="36"/>
      <c r="O74" s="12"/>
      <c r="P74" s="33"/>
      <c r="Q74" s="26"/>
    </row>
    <row r="75" spans="1:17" x14ac:dyDescent="0.2">
      <c r="A75" s="6"/>
      <c r="B75" s="8"/>
      <c r="C75" s="8"/>
      <c r="D75" s="8"/>
      <c r="E75" s="8"/>
      <c r="F75" s="30"/>
      <c r="G75" s="35"/>
      <c r="H75" s="38"/>
      <c r="I75" s="37"/>
      <c r="J75" s="8"/>
      <c r="K75" s="8"/>
      <c r="L75" s="35"/>
      <c r="M75" s="12"/>
      <c r="N75" s="36"/>
      <c r="O75" s="12"/>
      <c r="P75" s="33"/>
      <c r="Q75" s="26"/>
    </row>
    <row r="76" spans="1:17" x14ac:dyDescent="0.2">
      <c r="A76" s="6"/>
      <c r="B76" s="8"/>
      <c r="C76" s="8"/>
      <c r="D76" s="8"/>
      <c r="E76" s="8"/>
      <c r="F76" s="30"/>
      <c r="G76" s="35"/>
      <c r="H76" s="38"/>
      <c r="I76" s="37"/>
      <c r="J76" s="8"/>
      <c r="K76" s="8"/>
      <c r="L76" s="35"/>
      <c r="M76" s="12"/>
      <c r="N76" s="36"/>
      <c r="O76" s="12"/>
      <c r="P76" s="33"/>
      <c r="Q76" s="26"/>
    </row>
    <row r="77" spans="1:17" x14ac:dyDescent="0.2">
      <c r="A77" s="6"/>
      <c r="B77" s="8"/>
      <c r="C77" s="8"/>
      <c r="D77" s="8"/>
      <c r="E77" s="8"/>
      <c r="F77" s="30"/>
      <c r="G77" s="35"/>
      <c r="H77" s="38"/>
      <c r="I77" s="37"/>
      <c r="J77" s="8"/>
      <c r="K77" s="8"/>
      <c r="L77" s="35"/>
      <c r="M77" s="12"/>
      <c r="N77" s="36"/>
      <c r="O77" s="12"/>
      <c r="P77" s="33"/>
      <c r="Q77" s="26"/>
    </row>
    <row r="78" spans="1:17" x14ac:dyDescent="0.2">
      <c r="A78" s="6"/>
      <c r="B78" s="8"/>
      <c r="C78" s="8"/>
      <c r="D78" s="8"/>
      <c r="E78" s="8"/>
      <c r="F78" s="30"/>
      <c r="G78" s="35"/>
      <c r="H78" s="38"/>
      <c r="I78" s="37"/>
      <c r="J78" s="8"/>
      <c r="K78" s="8"/>
      <c r="L78" s="35"/>
      <c r="M78" s="12"/>
      <c r="N78" s="36"/>
      <c r="O78" s="12"/>
      <c r="P78" s="33"/>
      <c r="Q78" s="26"/>
    </row>
    <row r="79" spans="1:17" x14ac:dyDescent="0.2">
      <c r="A79" s="6"/>
      <c r="B79" s="8"/>
      <c r="C79" s="8"/>
      <c r="D79" s="8"/>
      <c r="E79" s="8"/>
      <c r="F79" s="30"/>
      <c r="G79" s="35"/>
      <c r="H79" s="38"/>
      <c r="I79" s="37"/>
      <c r="J79" s="8"/>
      <c r="K79" s="8"/>
      <c r="L79" s="35"/>
      <c r="M79" s="12"/>
      <c r="N79" s="36"/>
      <c r="O79" s="12"/>
      <c r="P79" s="33"/>
      <c r="Q79" s="26"/>
    </row>
    <row r="80" spans="1:17" x14ac:dyDescent="0.2">
      <c r="A80" s="6"/>
      <c r="B80" s="8"/>
      <c r="C80" s="8"/>
      <c r="D80" s="8"/>
      <c r="E80" s="8"/>
      <c r="F80" s="30"/>
      <c r="G80" s="35"/>
      <c r="H80" s="38"/>
      <c r="I80" s="37"/>
      <c r="J80" s="8"/>
      <c r="K80" s="8"/>
      <c r="L80" s="35"/>
      <c r="M80" s="12"/>
      <c r="N80" s="36"/>
      <c r="O80" s="12"/>
      <c r="P80" s="33"/>
      <c r="Q80" s="26"/>
    </row>
    <row r="81" spans="1:17" x14ac:dyDescent="0.2">
      <c r="A81" s="6"/>
      <c r="B81" s="8"/>
      <c r="C81" s="8"/>
      <c r="D81" s="8"/>
      <c r="E81" s="8"/>
      <c r="F81" s="30"/>
      <c r="G81" s="35"/>
      <c r="H81" s="38"/>
      <c r="I81" s="37"/>
      <c r="J81" s="8"/>
      <c r="K81" s="8"/>
      <c r="L81" s="35"/>
      <c r="M81" s="12"/>
      <c r="N81" s="36"/>
      <c r="O81" s="12"/>
      <c r="P81" s="33"/>
      <c r="Q81" s="26"/>
    </row>
    <row r="82" spans="1:17" x14ac:dyDescent="0.2">
      <c r="A82" s="6"/>
      <c r="B82" s="8"/>
      <c r="C82" s="8"/>
      <c r="D82" s="8"/>
      <c r="E82" s="8"/>
      <c r="F82" s="30"/>
      <c r="G82" s="35"/>
      <c r="H82" s="38"/>
      <c r="I82" s="37"/>
      <c r="J82" s="8"/>
      <c r="K82" s="8"/>
      <c r="L82" s="35"/>
      <c r="M82" s="12"/>
      <c r="N82" s="36"/>
      <c r="O82" s="12"/>
      <c r="P82" s="33"/>
      <c r="Q82" s="26"/>
    </row>
    <row r="83" spans="1:17" x14ac:dyDescent="0.2">
      <c r="A83" s="6"/>
      <c r="B83" s="8"/>
      <c r="C83" s="8"/>
      <c r="D83" s="8"/>
      <c r="E83" s="8"/>
      <c r="F83" s="30"/>
      <c r="G83" s="35"/>
      <c r="H83" s="38"/>
      <c r="I83" s="37"/>
      <c r="J83" s="8"/>
      <c r="K83" s="8"/>
      <c r="L83" s="35"/>
      <c r="M83" s="12"/>
      <c r="N83" s="36"/>
      <c r="O83" s="12"/>
      <c r="P83" s="33"/>
      <c r="Q83" s="26"/>
    </row>
    <row r="84" spans="1:17" x14ac:dyDescent="0.2">
      <c r="A84" s="6"/>
      <c r="B84" s="8"/>
      <c r="C84" s="8"/>
      <c r="D84" s="8"/>
      <c r="E84" s="8"/>
      <c r="F84" s="30"/>
      <c r="G84" s="35"/>
      <c r="H84" s="38"/>
      <c r="I84" s="37"/>
      <c r="J84" s="8"/>
      <c r="K84" s="8"/>
      <c r="L84" s="35"/>
      <c r="M84" s="12"/>
      <c r="N84" s="36"/>
      <c r="O84" s="12"/>
      <c r="P84" s="33"/>
      <c r="Q84" s="26"/>
    </row>
    <row r="85" spans="1:17" x14ac:dyDescent="0.2">
      <c r="A85" s="6"/>
      <c r="B85" s="8"/>
      <c r="C85" s="8"/>
      <c r="D85" s="8"/>
      <c r="E85" s="8"/>
      <c r="F85" s="30"/>
      <c r="G85" s="35"/>
      <c r="H85" s="38"/>
      <c r="I85" s="37"/>
      <c r="J85" s="8"/>
      <c r="K85" s="8"/>
      <c r="L85" s="35"/>
      <c r="M85" s="12"/>
      <c r="N85" s="36"/>
      <c r="O85" s="12"/>
      <c r="P85" s="33"/>
      <c r="Q85" s="26"/>
    </row>
    <row r="86" spans="1:17" x14ac:dyDescent="0.2">
      <c r="A86" s="6"/>
      <c r="B86" s="8"/>
      <c r="C86" s="8"/>
      <c r="D86" s="8"/>
      <c r="E86" s="8"/>
      <c r="F86" s="30"/>
      <c r="G86" s="35"/>
      <c r="H86" s="38"/>
      <c r="I86" s="37"/>
      <c r="J86" s="8"/>
      <c r="K86" s="8"/>
      <c r="L86" s="35"/>
      <c r="M86" s="12"/>
      <c r="N86" s="36"/>
      <c r="O86" s="12"/>
      <c r="P86" s="33"/>
      <c r="Q86" s="26"/>
    </row>
    <row r="87" spans="1:17" x14ac:dyDescent="0.2">
      <c r="A87" s="6"/>
      <c r="B87" s="8"/>
      <c r="C87" s="8"/>
      <c r="D87" s="8"/>
      <c r="E87" s="8"/>
      <c r="F87" s="30"/>
      <c r="G87" s="35"/>
      <c r="H87" s="38"/>
      <c r="I87" s="37"/>
      <c r="J87" s="8"/>
      <c r="K87" s="8"/>
      <c r="L87" s="35"/>
      <c r="M87" s="12"/>
      <c r="N87" s="36"/>
      <c r="O87" s="12"/>
      <c r="P87" s="33"/>
      <c r="Q87" s="26"/>
    </row>
    <row r="88" spans="1:17" x14ac:dyDescent="0.2">
      <c r="A88" s="6"/>
      <c r="B88" s="8"/>
      <c r="C88" s="8"/>
      <c r="D88" s="8"/>
      <c r="E88" s="8"/>
      <c r="F88" s="30"/>
      <c r="G88" s="35"/>
      <c r="H88" s="38"/>
      <c r="I88" s="37"/>
      <c r="J88" s="8"/>
      <c r="K88" s="8"/>
      <c r="L88" s="35"/>
      <c r="M88" s="12"/>
      <c r="N88" s="36"/>
      <c r="O88" s="12"/>
      <c r="P88" s="33"/>
      <c r="Q88" s="26"/>
    </row>
    <row r="89" spans="1:17" x14ac:dyDescent="0.2">
      <c r="A89" s="6"/>
      <c r="B89" s="8"/>
      <c r="C89" s="8"/>
      <c r="D89" s="8"/>
      <c r="E89" s="8"/>
      <c r="F89" s="30"/>
      <c r="G89" s="35"/>
      <c r="H89" s="38"/>
      <c r="I89" s="37"/>
      <c r="J89" s="8"/>
      <c r="K89" s="8"/>
      <c r="L89" s="35"/>
      <c r="M89" s="12"/>
      <c r="N89" s="36"/>
      <c r="O89" s="12"/>
      <c r="P89" s="33"/>
      <c r="Q89" s="26"/>
    </row>
    <row r="90" spans="1:17" x14ac:dyDescent="0.2">
      <c r="A90" s="6"/>
      <c r="B90" s="8"/>
      <c r="C90" s="8"/>
      <c r="D90" s="8"/>
      <c r="E90" s="8"/>
      <c r="F90" s="30"/>
      <c r="G90" s="35"/>
      <c r="H90" s="38"/>
      <c r="I90" s="37"/>
      <c r="J90" s="8"/>
      <c r="K90" s="8"/>
      <c r="L90" s="35"/>
      <c r="M90" s="12"/>
      <c r="N90" s="36"/>
      <c r="O90" s="12"/>
      <c r="P90" s="33"/>
      <c r="Q90" s="26"/>
    </row>
    <row r="91" spans="1:17" x14ac:dyDescent="0.2">
      <c r="A91" s="6"/>
      <c r="B91" s="8"/>
      <c r="C91" s="8"/>
      <c r="D91" s="8"/>
      <c r="E91" s="8"/>
      <c r="F91" s="30"/>
      <c r="G91" s="35"/>
      <c r="H91" s="38"/>
      <c r="I91" s="37"/>
      <c r="J91" s="8"/>
      <c r="K91" s="8"/>
      <c r="L91" s="35"/>
      <c r="M91" s="12"/>
      <c r="N91" s="36"/>
      <c r="O91" s="12"/>
      <c r="P91" s="33"/>
      <c r="Q91" s="26"/>
    </row>
  </sheetData>
  <autoFilter ref="A1:Q42" xr:uid="{6283ECC9-DF7F-497D-BBEE-0318494D4F38}"/>
  <pageMargins left="0.70866141732283472" right="0.70866141732283472" top="0.74803149606299213" bottom="0.74803149606299213" header="0.31496062992125984" footer="0.31496062992125984"/>
  <pageSetup paperSize="8" scale="6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3B28C-C9F0-44C7-88D4-B08EDBBBC2CE}">
          <x14:formula1>
            <xm:f>Sheet1!$A$1:$A$4</xm:f>
          </x14:formula1>
          <xm:sqref>Q2:Q46 Q48:Q91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9049-1325-46AE-944A-A90996E1A1FB}">
  <dimension ref="A1:Q217"/>
  <sheetViews>
    <sheetView topLeftCell="H1" zoomScaleNormal="100" workbookViewId="0">
      <pane ySplit="1" topLeftCell="A2" activePane="bottomLeft" state="frozen"/>
      <selection activeCell="C1" sqref="C1"/>
      <selection pane="bottomLeft" activeCell="Q2" sqref="Q2"/>
    </sheetView>
    <sheetView workbookViewId="1"/>
  </sheetViews>
  <sheetFormatPr defaultRowHeight="12.75" x14ac:dyDescent="0.2"/>
  <cols>
    <col min="1" max="1" width="18.6640625" customWidth="1"/>
    <col min="2" max="3" width="18.83203125" customWidth="1"/>
    <col min="4" max="4" width="18.6640625" customWidth="1"/>
    <col min="5" max="6" width="18.5" customWidth="1"/>
    <col min="7" max="7" width="27.6640625" customWidth="1"/>
    <col min="8" max="8" width="18.6640625" customWidth="1"/>
    <col min="9" max="9" width="25.33203125" customWidth="1"/>
    <col min="10" max="10" width="28" customWidth="1"/>
    <col min="12" max="12" width="28" customWidth="1"/>
    <col min="13" max="13" width="18.83203125" customWidth="1"/>
    <col min="14" max="16" width="18.6640625" customWidth="1"/>
    <col min="17" max="17" width="19.1640625" customWidth="1"/>
  </cols>
  <sheetData>
    <row r="1" spans="1:17" ht="25.5" x14ac:dyDescent="0.2">
      <c r="A1" s="3" t="s">
        <v>5</v>
      </c>
      <c r="B1" s="5" t="s">
        <v>0</v>
      </c>
      <c r="C1" s="5" t="s">
        <v>15</v>
      </c>
      <c r="D1" s="5" t="s">
        <v>36</v>
      </c>
      <c r="E1" s="4" t="s">
        <v>37</v>
      </c>
      <c r="F1" s="4" t="s">
        <v>21</v>
      </c>
      <c r="G1" s="5" t="s">
        <v>1</v>
      </c>
      <c r="H1" s="71" t="s">
        <v>2</v>
      </c>
      <c r="I1" s="5" t="s">
        <v>3</v>
      </c>
      <c r="J1" s="5" t="s">
        <v>4</v>
      </c>
      <c r="K1" s="5" t="s">
        <v>9</v>
      </c>
      <c r="L1" s="9" t="s">
        <v>16</v>
      </c>
      <c r="M1" s="72" t="s">
        <v>11</v>
      </c>
      <c r="N1" s="73" t="s">
        <v>30</v>
      </c>
      <c r="O1" s="72" t="s">
        <v>12</v>
      </c>
      <c r="P1" s="72" t="s">
        <v>20</v>
      </c>
      <c r="Q1" s="74" t="s">
        <v>28</v>
      </c>
    </row>
    <row r="2" spans="1:17" ht="15" x14ac:dyDescent="0.3">
      <c r="A2" s="6"/>
      <c r="B2" s="8"/>
      <c r="C2" s="8"/>
      <c r="D2" s="8"/>
      <c r="E2" s="8"/>
      <c r="F2" s="104"/>
      <c r="G2" s="78"/>
      <c r="H2" s="78"/>
      <c r="I2" s="105"/>
      <c r="J2" s="8"/>
      <c r="K2" s="8"/>
      <c r="L2" s="35"/>
      <c r="M2" s="33"/>
      <c r="N2" s="36"/>
      <c r="O2" s="12"/>
      <c r="P2" s="33"/>
      <c r="Q2" s="26" t="str">
        <f>IFERROR(VLOOKUP(A2,#REF!, 2, FALSE), "")</f>
        <v/>
      </c>
    </row>
    <row r="3" spans="1:17" ht="15" x14ac:dyDescent="0.3">
      <c r="A3" s="6"/>
      <c r="B3" s="8"/>
      <c r="C3" s="8"/>
      <c r="D3" s="8"/>
      <c r="E3" s="8"/>
      <c r="F3" s="104"/>
      <c r="G3" s="78"/>
      <c r="H3" s="78"/>
      <c r="I3" s="105"/>
      <c r="J3" s="8"/>
      <c r="K3" s="8"/>
      <c r="L3" s="35"/>
      <c r="M3" s="33"/>
      <c r="N3" s="36"/>
      <c r="O3" s="12"/>
      <c r="P3" s="33"/>
      <c r="Q3" s="26"/>
    </row>
    <row r="4" spans="1:17" ht="15" x14ac:dyDescent="0.3">
      <c r="A4" s="6"/>
      <c r="B4" s="8"/>
      <c r="C4" s="8"/>
      <c r="D4" s="8"/>
      <c r="E4" s="8"/>
      <c r="F4" s="104"/>
      <c r="G4" s="78"/>
      <c r="H4" s="78"/>
      <c r="I4" s="105"/>
      <c r="J4" s="8"/>
      <c r="K4" s="8"/>
      <c r="L4" s="35"/>
      <c r="M4" s="33"/>
      <c r="N4" s="36"/>
      <c r="O4" s="12"/>
      <c r="P4" s="33"/>
      <c r="Q4" s="26"/>
    </row>
    <row r="5" spans="1:17" ht="15" x14ac:dyDescent="0.3">
      <c r="A5" s="6"/>
      <c r="B5" s="8"/>
      <c r="C5" s="8"/>
      <c r="D5" s="8"/>
      <c r="E5" s="8"/>
      <c r="F5" s="104"/>
      <c r="G5" s="78"/>
      <c r="H5" s="78"/>
      <c r="I5" s="105"/>
      <c r="J5" s="8"/>
      <c r="K5" s="8"/>
      <c r="L5" s="35"/>
      <c r="M5" s="33"/>
      <c r="N5" s="36"/>
      <c r="O5" s="12"/>
      <c r="P5" s="33"/>
      <c r="Q5" s="26"/>
    </row>
    <row r="6" spans="1:17" ht="15" x14ac:dyDescent="0.3">
      <c r="A6" s="6"/>
      <c r="B6" s="8"/>
      <c r="C6" s="8"/>
      <c r="D6" s="8"/>
      <c r="E6" s="8"/>
      <c r="F6" s="104"/>
      <c r="G6" s="78"/>
      <c r="H6" s="78"/>
      <c r="I6" s="105"/>
      <c r="J6" s="8"/>
      <c r="K6" s="8"/>
      <c r="L6" s="35"/>
      <c r="M6" s="33"/>
      <c r="N6" s="36"/>
      <c r="O6" s="33"/>
      <c r="P6" s="33"/>
      <c r="Q6" s="26"/>
    </row>
    <row r="7" spans="1:17" ht="15" x14ac:dyDescent="0.3">
      <c r="A7" s="6"/>
      <c r="B7" s="8"/>
      <c r="C7" s="8"/>
      <c r="D7" s="8"/>
      <c r="E7" s="8"/>
      <c r="F7" s="104"/>
      <c r="G7" s="78"/>
      <c r="H7" s="78"/>
      <c r="I7" s="105"/>
      <c r="J7" s="8"/>
      <c r="K7" s="8"/>
      <c r="L7" s="35"/>
      <c r="M7" s="33"/>
      <c r="N7" s="36"/>
      <c r="O7" s="12"/>
      <c r="P7" s="33"/>
      <c r="Q7" s="26"/>
    </row>
    <row r="8" spans="1:17" ht="15" x14ac:dyDescent="0.3">
      <c r="A8" s="6"/>
      <c r="B8" s="8"/>
      <c r="C8" s="8"/>
      <c r="D8" s="8"/>
      <c r="E8" s="8"/>
      <c r="F8" s="104"/>
      <c r="G8" s="78"/>
      <c r="H8" s="78"/>
      <c r="I8" s="105"/>
      <c r="J8" s="8"/>
      <c r="K8" s="8"/>
      <c r="L8" s="35"/>
      <c r="M8" s="33"/>
      <c r="N8" s="36"/>
      <c r="O8" s="33"/>
      <c r="P8" s="33"/>
      <c r="Q8" s="96"/>
    </row>
    <row r="9" spans="1:17" ht="15" x14ac:dyDescent="0.3">
      <c r="A9" s="6"/>
      <c r="B9" s="8"/>
      <c r="C9" s="8"/>
      <c r="D9" s="8"/>
      <c r="E9" s="8"/>
      <c r="F9" s="104"/>
      <c r="G9" s="78"/>
      <c r="H9" s="78"/>
      <c r="I9" s="105"/>
      <c r="J9" s="8"/>
      <c r="K9" s="8"/>
      <c r="L9" s="35"/>
      <c r="M9" s="33"/>
      <c r="N9" s="36"/>
      <c r="O9" s="12"/>
      <c r="P9" s="33"/>
      <c r="Q9" s="26"/>
    </row>
    <row r="10" spans="1:17" ht="15" x14ac:dyDescent="0.3">
      <c r="A10" s="6"/>
      <c r="B10" s="8"/>
      <c r="C10" s="8"/>
      <c r="D10" s="8"/>
      <c r="E10" s="8"/>
      <c r="F10" s="104"/>
      <c r="G10" s="78"/>
      <c r="H10" s="78"/>
      <c r="I10" s="105"/>
      <c r="J10" s="8"/>
      <c r="K10" s="8"/>
      <c r="L10" s="35"/>
      <c r="M10" s="33"/>
      <c r="N10" s="36"/>
      <c r="O10" s="33"/>
      <c r="P10" s="33"/>
      <c r="Q10" s="96"/>
    </row>
    <row r="11" spans="1:17" ht="15" x14ac:dyDescent="0.3">
      <c r="A11" s="6"/>
      <c r="B11" s="8"/>
      <c r="C11" s="8"/>
      <c r="D11" s="8"/>
      <c r="E11" s="8"/>
      <c r="F11" s="104"/>
      <c r="G11" s="78"/>
      <c r="H11" s="78"/>
      <c r="I11" s="105"/>
      <c r="J11" s="8"/>
      <c r="K11" s="8"/>
      <c r="L11" s="35"/>
      <c r="M11" s="33"/>
      <c r="N11" s="36"/>
      <c r="O11" s="12"/>
      <c r="P11" s="33"/>
      <c r="Q11" s="26"/>
    </row>
    <row r="12" spans="1:17" ht="15" x14ac:dyDescent="0.3">
      <c r="A12" s="6"/>
      <c r="B12" s="8"/>
      <c r="C12" s="8"/>
      <c r="D12" s="8"/>
      <c r="E12" s="8"/>
      <c r="F12" s="104"/>
      <c r="G12" s="78"/>
      <c r="H12" s="78"/>
      <c r="I12" s="105"/>
      <c r="J12" s="8"/>
      <c r="K12" s="8"/>
      <c r="L12" s="35"/>
      <c r="M12" s="33"/>
      <c r="N12" s="36"/>
      <c r="O12" s="12"/>
      <c r="P12" s="33"/>
      <c r="Q12" s="26"/>
    </row>
    <row r="13" spans="1:17" ht="15" x14ac:dyDescent="0.3">
      <c r="A13" s="6"/>
      <c r="B13" s="8"/>
      <c r="C13" s="8"/>
      <c r="D13" s="8"/>
      <c r="E13" s="8"/>
      <c r="F13" s="104"/>
      <c r="G13" s="78"/>
      <c r="H13" s="78"/>
      <c r="I13" s="105"/>
      <c r="J13" s="8"/>
      <c r="K13" s="8"/>
      <c r="L13" s="35"/>
      <c r="M13" s="33"/>
      <c r="N13" s="36"/>
      <c r="O13" s="12"/>
      <c r="P13" s="33"/>
      <c r="Q13" s="26"/>
    </row>
    <row r="14" spans="1:17" x14ac:dyDescent="0.2">
      <c r="A14" s="6"/>
      <c r="B14" s="8"/>
      <c r="C14" s="8"/>
      <c r="D14" s="8"/>
      <c r="E14" s="8"/>
      <c r="F14" s="104"/>
      <c r="G14" s="78"/>
      <c r="H14" s="78"/>
      <c r="I14" s="103"/>
      <c r="J14" s="8"/>
      <c r="K14" s="8"/>
      <c r="L14" s="35"/>
      <c r="M14" s="33"/>
      <c r="N14" s="36"/>
      <c r="O14" s="12"/>
      <c r="P14" s="33"/>
      <c r="Q14" s="26"/>
    </row>
    <row r="15" spans="1:17" x14ac:dyDescent="0.2">
      <c r="A15" s="6"/>
      <c r="B15" s="8"/>
      <c r="C15" s="8"/>
      <c r="D15" s="8"/>
      <c r="E15" s="8"/>
      <c r="F15" s="104"/>
      <c r="G15" s="78"/>
      <c r="H15" s="78"/>
      <c r="I15" s="103"/>
      <c r="J15" s="8"/>
      <c r="K15" s="8"/>
      <c r="L15" s="35"/>
      <c r="M15" s="33"/>
      <c r="N15" s="36"/>
      <c r="O15" s="12"/>
      <c r="P15" s="33"/>
      <c r="Q15" s="26"/>
    </row>
    <row r="16" spans="1:17" x14ac:dyDescent="0.2">
      <c r="A16" s="6"/>
      <c r="B16" s="8"/>
      <c r="C16" s="8"/>
      <c r="D16" s="8"/>
      <c r="E16" s="8"/>
      <c r="F16" s="104"/>
      <c r="G16" s="78"/>
      <c r="H16" s="78"/>
      <c r="I16" s="103"/>
      <c r="J16" s="8"/>
      <c r="K16" s="8"/>
      <c r="L16" s="35"/>
      <c r="M16" s="33"/>
      <c r="N16" s="36"/>
      <c r="O16" s="12"/>
      <c r="P16" s="33"/>
      <c r="Q16" s="26"/>
    </row>
    <row r="17" spans="1:17" x14ac:dyDescent="0.2">
      <c r="A17" s="6"/>
      <c r="B17" s="8"/>
      <c r="C17" s="8"/>
      <c r="D17" s="8"/>
      <c r="E17" s="8"/>
      <c r="F17" s="30"/>
      <c r="G17" s="35"/>
      <c r="H17" s="38"/>
      <c r="I17" s="37"/>
      <c r="J17" s="8"/>
      <c r="K17" s="8"/>
      <c r="L17" s="35"/>
      <c r="M17" s="33"/>
      <c r="N17" s="36"/>
      <c r="O17" s="12"/>
      <c r="P17" s="33"/>
      <c r="Q17" s="26"/>
    </row>
    <row r="18" spans="1:17" x14ac:dyDescent="0.2">
      <c r="A18" s="6"/>
      <c r="B18" s="8"/>
      <c r="C18" s="8"/>
      <c r="D18" s="8"/>
      <c r="E18" s="8"/>
      <c r="F18" s="30"/>
      <c r="G18" s="35"/>
      <c r="H18" s="38"/>
      <c r="I18" s="37"/>
      <c r="J18" s="8"/>
      <c r="K18" s="8"/>
      <c r="L18" s="35"/>
      <c r="M18" s="33"/>
      <c r="N18" s="36"/>
      <c r="O18" s="12"/>
      <c r="P18" s="33"/>
      <c r="Q18" s="26"/>
    </row>
    <row r="19" spans="1:17" x14ac:dyDescent="0.2">
      <c r="A19" s="6"/>
      <c r="B19" s="8"/>
      <c r="C19" s="8"/>
      <c r="D19" s="8"/>
      <c r="E19" s="8"/>
      <c r="F19" s="30"/>
      <c r="G19" s="35"/>
      <c r="H19" s="38"/>
      <c r="I19" s="37"/>
      <c r="J19" s="8"/>
      <c r="K19" s="8"/>
      <c r="L19" s="35"/>
      <c r="M19" s="33"/>
      <c r="N19" s="36"/>
      <c r="O19" s="12"/>
      <c r="P19" s="33"/>
      <c r="Q19" s="26"/>
    </row>
    <row r="20" spans="1:17" x14ac:dyDescent="0.2">
      <c r="A20" s="6"/>
      <c r="B20" s="8"/>
      <c r="C20" s="8"/>
      <c r="D20" s="8"/>
      <c r="E20" s="8"/>
      <c r="F20" s="30"/>
      <c r="G20" s="35"/>
      <c r="H20" s="38"/>
      <c r="I20" s="37"/>
      <c r="J20" s="8"/>
      <c r="K20" s="8"/>
      <c r="L20" s="35"/>
      <c r="M20" s="33"/>
      <c r="N20" s="36"/>
      <c r="O20" s="12"/>
      <c r="P20" s="33"/>
      <c r="Q20" s="26"/>
    </row>
    <row r="21" spans="1:17" x14ac:dyDescent="0.2">
      <c r="A21" s="6"/>
      <c r="B21" s="8"/>
      <c r="C21" s="8"/>
      <c r="D21" s="8"/>
      <c r="E21" s="8"/>
      <c r="F21" s="30"/>
      <c r="G21" s="35"/>
      <c r="H21" s="38"/>
      <c r="I21" s="37"/>
      <c r="J21" s="8"/>
      <c r="K21" s="8"/>
      <c r="L21" s="35"/>
      <c r="M21" s="33"/>
      <c r="N21" s="36"/>
      <c r="O21" s="12"/>
      <c r="P21" s="33"/>
      <c r="Q21" s="96"/>
    </row>
    <row r="22" spans="1:17" x14ac:dyDescent="0.2">
      <c r="A22" s="6"/>
      <c r="B22" s="8"/>
      <c r="C22" s="8"/>
      <c r="D22" s="8"/>
      <c r="E22" s="8"/>
      <c r="F22" s="30"/>
      <c r="G22" s="35"/>
      <c r="H22" s="38"/>
      <c r="I22" s="37"/>
      <c r="J22" s="8"/>
      <c r="K22" s="8"/>
      <c r="L22" s="35"/>
      <c r="M22" s="33"/>
      <c r="N22" s="36"/>
      <c r="O22" s="12"/>
      <c r="P22" s="33"/>
      <c r="Q22" s="26"/>
    </row>
    <row r="23" spans="1:17" x14ac:dyDescent="0.2">
      <c r="A23" s="6"/>
      <c r="B23" s="8"/>
      <c r="C23" s="8"/>
      <c r="D23" s="8"/>
      <c r="E23" s="8"/>
      <c r="F23" s="30"/>
      <c r="G23" s="35"/>
      <c r="H23" s="38"/>
      <c r="I23" s="37"/>
      <c r="J23" s="8"/>
      <c r="K23" s="8"/>
      <c r="L23" s="35"/>
      <c r="M23" s="33"/>
      <c r="N23" s="36"/>
      <c r="O23" s="12"/>
      <c r="P23" s="33"/>
      <c r="Q23" s="26"/>
    </row>
    <row r="24" spans="1:17" x14ac:dyDescent="0.2">
      <c r="A24" s="6"/>
      <c r="B24" s="8"/>
      <c r="C24" s="8"/>
      <c r="D24" s="8"/>
      <c r="E24" s="8"/>
      <c r="F24" s="30"/>
      <c r="G24" s="35"/>
      <c r="H24" s="38"/>
      <c r="I24" s="37"/>
      <c r="J24" s="8"/>
      <c r="K24" s="8"/>
      <c r="L24" s="35"/>
      <c r="M24" s="33"/>
      <c r="N24" s="36"/>
      <c r="O24" s="33"/>
      <c r="P24" s="33"/>
      <c r="Q24" s="96"/>
    </row>
    <row r="25" spans="1:17" x14ac:dyDescent="0.2">
      <c r="A25" s="6"/>
      <c r="B25" s="8"/>
      <c r="C25" s="8"/>
      <c r="D25" s="8"/>
      <c r="E25" s="8"/>
      <c r="F25" s="30"/>
      <c r="G25" s="35"/>
      <c r="H25" s="38"/>
      <c r="I25" s="37"/>
      <c r="J25" s="8"/>
      <c r="K25" s="8"/>
      <c r="L25" s="35"/>
      <c r="M25" s="33"/>
      <c r="N25" s="36"/>
      <c r="O25" s="12"/>
      <c r="P25" s="33"/>
      <c r="Q25" s="26"/>
    </row>
    <row r="26" spans="1:17" x14ac:dyDescent="0.2">
      <c r="A26" s="6"/>
      <c r="B26" s="8"/>
      <c r="C26" s="8"/>
      <c r="D26" s="8"/>
      <c r="E26" s="8"/>
      <c r="F26" s="30"/>
      <c r="G26" s="35"/>
      <c r="H26" s="38"/>
      <c r="I26" s="37"/>
      <c r="J26" s="8"/>
      <c r="K26" s="8"/>
      <c r="L26" s="35"/>
      <c r="M26" s="33"/>
      <c r="N26" s="36"/>
      <c r="O26" s="12"/>
      <c r="P26" s="33"/>
      <c r="Q26" s="26"/>
    </row>
    <row r="27" spans="1:17" x14ac:dyDescent="0.2">
      <c r="A27" s="6"/>
      <c r="B27" s="8"/>
      <c r="C27" s="8"/>
      <c r="D27" s="8"/>
      <c r="E27" s="8"/>
      <c r="F27" s="30"/>
      <c r="G27" s="35"/>
      <c r="H27" s="38"/>
      <c r="I27" s="37"/>
      <c r="J27" s="8"/>
      <c r="K27" s="8"/>
      <c r="L27" s="35"/>
      <c r="M27" s="33"/>
      <c r="N27" s="36"/>
      <c r="O27" s="12"/>
      <c r="P27" s="33"/>
      <c r="Q27" s="26"/>
    </row>
    <row r="28" spans="1:17" x14ac:dyDescent="0.2">
      <c r="A28" s="6"/>
      <c r="B28" s="8"/>
      <c r="C28" s="8"/>
      <c r="D28" s="8"/>
      <c r="E28" s="8"/>
      <c r="F28" s="30"/>
      <c r="G28" s="35"/>
      <c r="H28" s="38"/>
      <c r="I28" s="37"/>
      <c r="J28" s="8"/>
      <c r="K28" s="8"/>
      <c r="L28" s="35"/>
      <c r="M28" s="33"/>
      <c r="N28" s="36"/>
      <c r="O28" s="12"/>
      <c r="P28" s="33"/>
      <c r="Q28" s="26"/>
    </row>
    <row r="29" spans="1:17" x14ac:dyDescent="0.2">
      <c r="A29" s="6"/>
      <c r="B29" s="8"/>
      <c r="C29" s="8"/>
      <c r="D29" s="8"/>
      <c r="E29" s="8"/>
      <c r="F29" s="30"/>
      <c r="G29" s="35"/>
      <c r="H29" s="38"/>
      <c r="I29" s="37"/>
      <c r="J29" s="8"/>
      <c r="K29" s="8"/>
      <c r="L29" s="94"/>
      <c r="M29" s="33"/>
      <c r="N29" s="36"/>
      <c r="O29" s="12"/>
      <c r="P29" s="33"/>
      <c r="Q29" s="26"/>
    </row>
    <row r="30" spans="1:17" x14ac:dyDescent="0.2">
      <c r="A30" s="6"/>
      <c r="B30" s="8"/>
      <c r="C30" s="8"/>
      <c r="D30" s="8"/>
      <c r="E30" s="8"/>
      <c r="F30" s="30"/>
      <c r="G30" s="35"/>
      <c r="H30" s="38"/>
      <c r="I30" s="37"/>
      <c r="J30" s="8"/>
      <c r="K30" s="8"/>
      <c r="L30" s="35"/>
      <c r="M30" s="33"/>
      <c r="N30" s="36"/>
      <c r="O30" s="12"/>
      <c r="P30" s="33"/>
      <c r="Q30" s="96"/>
    </row>
    <row r="31" spans="1:17" x14ac:dyDescent="0.2">
      <c r="A31" s="12"/>
      <c r="B31" s="77"/>
      <c r="C31" s="77"/>
      <c r="D31" s="77"/>
      <c r="E31" s="77"/>
      <c r="F31" s="80"/>
      <c r="G31" s="77"/>
      <c r="H31" s="38"/>
      <c r="I31" s="78"/>
      <c r="J31" s="77"/>
      <c r="K31" s="77"/>
      <c r="L31" s="77"/>
      <c r="M31" s="33"/>
      <c r="N31" s="82"/>
      <c r="O31" s="12"/>
      <c r="P31" s="33"/>
      <c r="Q31" s="26"/>
    </row>
    <row r="32" spans="1:17" x14ac:dyDescent="0.2">
      <c r="A32" s="12"/>
      <c r="B32" s="77"/>
      <c r="C32" s="77"/>
      <c r="D32" s="77"/>
      <c r="E32" s="77"/>
      <c r="F32" s="80"/>
      <c r="G32" s="77"/>
      <c r="H32" s="38"/>
      <c r="I32" s="78"/>
      <c r="J32" s="77"/>
      <c r="K32" s="77"/>
      <c r="L32" s="77"/>
      <c r="M32" s="33"/>
      <c r="N32" s="82"/>
      <c r="O32" s="12"/>
      <c r="P32" s="33"/>
      <c r="Q32" s="26"/>
    </row>
    <row r="33" spans="1:17" x14ac:dyDescent="0.2">
      <c r="A33" s="26"/>
      <c r="B33" s="26"/>
      <c r="C33" s="77"/>
      <c r="D33" s="77"/>
      <c r="E33" s="77"/>
      <c r="F33" s="26"/>
      <c r="G33" s="26"/>
      <c r="H33" s="26"/>
      <c r="I33" s="106"/>
      <c r="J33" s="77"/>
      <c r="K33" s="26"/>
      <c r="L33" s="26"/>
      <c r="M33" s="33"/>
      <c r="N33" s="100"/>
      <c r="O33" s="100"/>
      <c r="P33" s="26"/>
      <c r="Q33" s="96"/>
    </row>
    <row r="34" spans="1:17" x14ac:dyDescent="0.2">
      <c r="A34" s="26"/>
      <c r="B34" s="26"/>
      <c r="C34" s="77"/>
      <c r="D34" s="77"/>
      <c r="E34" s="77"/>
      <c r="F34" s="26"/>
      <c r="G34" s="26"/>
      <c r="H34" s="26"/>
      <c r="I34" s="78"/>
      <c r="J34" s="77"/>
      <c r="K34" s="26"/>
      <c r="L34" s="26"/>
      <c r="M34" s="33"/>
      <c r="N34" s="26"/>
      <c r="O34" s="26"/>
      <c r="P34" s="26"/>
      <c r="Q34" s="26"/>
    </row>
    <row r="35" spans="1:17" x14ac:dyDescent="0.2">
      <c r="A35" s="26"/>
      <c r="B35" s="26"/>
      <c r="C35" s="77"/>
      <c r="D35" s="77"/>
      <c r="E35" s="77"/>
      <c r="F35" s="26"/>
      <c r="G35" s="26"/>
      <c r="H35" s="26"/>
      <c r="I35" s="78"/>
      <c r="J35" s="77"/>
      <c r="K35" s="26"/>
      <c r="L35" s="26"/>
      <c r="M35" s="33"/>
      <c r="N35" s="26"/>
      <c r="O35" s="26"/>
      <c r="P35" s="26"/>
      <c r="Q35" s="26"/>
    </row>
    <row r="36" spans="1:17" x14ac:dyDescent="0.2">
      <c r="A36" s="26"/>
      <c r="B36" s="26"/>
      <c r="C36" s="77"/>
      <c r="D36" s="77"/>
      <c r="E36" s="77"/>
      <c r="F36" s="26"/>
      <c r="G36" s="26"/>
      <c r="H36" s="26"/>
      <c r="I36" s="78"/>
      <c r="J36" s="77"/>
      <c r="K36" s="26"/>
      <c r="L36" s="26"/>
      <c r="M36" s="33"/>
      <c r="N36" s="100"/>
      <c r="O36" s="100"/>
      <c r="P36" s="26"/>
      <c r="Q36" s="96"/>
    </row>
    <row r="37" spans="1:17" x14ac:dyDescent="0.2">
      <c r="A37" s="26"/>
      <c r="B37" s="26"/>
      <c r="C37" s="77"/>
      <c r="D37" s="77"/>
      <c r="E37" s="77"/>
      <c r="F37" s="26"/>
      <c r="G37" s="26"/>
      <c r="H37" s="26"/>
      <c r="I37" s="78"/>
      <c r="J37" s="77"/>
      <c r="K37" s="26"/>
      <c r="L37" s="26"/>
      <c r="M37" s="33"/>
      <c r="N37" s="26"/>
      <c r="O37" s="26"/>
      <c r="P37" s="26"/>
      <c r="Q37" s="26"/>
    </row>
    <row r="38" spans="1:17" x14ac:dyDescent="0.2">
      <c r="A38" s="26"/>
      <c r="B38" s="26"/>
      <c r="C38" s="77"/>
      <c r="D38" s="77"/>
      <c r="E38" s="77"/>
      <c r="F38" s="26"/>
      <c r="G38" s="26"/>
      <c r="H38" s="26"/>
      <c r="I38" s="78"/>
      <c r="J38" s="77"/>
      <c r="K38" s="26"/>
      <c r="L38" s="26"/>
      <c r="M38" s="33"/>
      <c r="N38" s="26"/>
      <c r="O38" s="26"/>
      <c r="P38" s="26"/>
      <c r="Q38" s="26"/>
    </row>
    <row r="39" spans="1:17" x14ac:dyDescent="0.2">
      <c r="A39" s="26"/>
      <c r="B39" s="26"/>
      <c r="C39" s="77"/>
      <c r="D39" s="77"/>
      <c r="E39" s="77"/>
      <c r="F39" s="26"/>
      <c r="G39" s="26"/>
      <c r="H39" s="26"/>
      <c r="I39" s="78"/>
      <c r="J39" s="77"/>
      <c r="K39" s="26"/>
      <c r="L39" s="26"/>
      <c r="M39" s="33"/>
      <c r="N39" s="26"/>
      <c r="O39" s="26"/>
      <c r="P39" s="26"/>
      <c r="Q39" s="26"/>
    </row>
    <row r="40" spans="1:17" x14ac:dyDescent="0.2">
      <c r="A40" s="26"/>
      <c r="B40" s="26"/>
      <c r="C40" s="77"/>
      <c r="D40" s="77"/>
      <c r="E40" s="77"/>
      <c r="F40" s="26"/>
      <c r="G40" s="26"/>
      <c r="H40" s="26"/>
      <c r="I40" s="107"/>
      <c r="J40" s="77"/>
      <c r="K40" s="26"/>
      <c r="L40" s="26"/>
      <c r="M40" s="33"/>
      <c r="N40" s="100"/>
      <c r="O40" s="100"/>
      <c r="P40" s="26"/>
      <c r="Q40" s="96"/>
    </row>
    <row r="41" spans="1:17" x14ac:dyDescent="0.2">
      <c r="A41" s="26"/>
      <c r="B41" s="26"/>
      <c r="C41" s="77"/>
      <c r="D41" s="77"/>
      <c r="E41" s="77"/>
      <c r="F41" s="26"/>
      <c r="G41" s="26"/>
      <c r="H41" s="26"/>
      <c r="I41" s="78"/>
      <c r="J41" s="77"/>
      <c r="K41" s="26"/>
      <c r="L41" s="26"/>
      <c r="M41" s="33"/>
      <c r="N41" s="26"/>
      <c r="O41" s="26"/>
      <c r="P41" s="26"/>
      <c r="Q41" s="26"/>
    </row>
    <row r="42" spans="1:17" x14ac:dyDescent="0.2">
      <c r="A42" s="26"/>
      <c r="B42" s="26"/>
      <c r="C42" s="77"/>
      <c r="D42" s="77"/>
      <c r="E42" s="77"/>
      <c r="F42" s="26"/>
      <c r="G42" s="26"/>
      <c r="H42" s="26"/>
      <c r="I42" s="78"/>
      <c r="J42" s="77"/>
      <c r="K42" s="26"/>
      <c r="L42" s="26"/>
      <c r="M42" s="33"/>
      <c r="N42" s="26"/>
      <c r="O42" s="26"/>
      <c r="P42" s="26"/>
      <c r="Q42" s="26"/>
    </row>
    <row r="43" spans="1:17" x14ac:dyDescent="0.2">
      <c r="A43" s="26"/>
      <c r="B43" s="26"/>
      <c r="C43" s="77"/>
      <c r="D43" s="77"/>
      <c r="E43" s="77"/>
      <c r="F43" s="26"/>
      <c r="G43" s="26"/>
      <c r="H43" s="26"/>
      <c r="I43" s="78"/>
      <c r="J43" s="77"/>
      <c r="K43" s="26"/>
      <c r="L43" s="26"/>
      <c r="M43" s="33"/>
      <c r="N43" s="26"/>
      <c r="O43" s="26"/>
      <c r="P43" s="26"/>
      <c r="Q43" s="26"/>
    </row>
    <row r="44" spans="1:17" x14ac:dyDescent="0.2">
      <c r="A44" s="26"/>
      <c r="B44" s="26"/>
      <c r="C44" s="77"/>
      <c r="D44" s="77"/>
      <c r="E44" s="77"/>
      <c r="F44" s="26"/>
      <c r="G44" s="26"/>
      <c r="H44" s="26"/>
      <c r="I44" s="78"/>
      <c r="J44" s="77"/>
      <c r="K44" s="26"/>
      <c r="L44" s="26"/>
      <c r="M44" s="33"/>
      <c r="N44" s="26"/>
      <c r="O44" s="26"/>
      <c r="P44" s="26"/>
      <c r="Q44" s="26"/>
    </row>
    <row r="45" spans="1:17" ht="24.75" customHeight="1" x14ac:dyDescent="0.2">
      <c r="A45" s="26"/>
      <c r="B45" s="26"/>
      <c r="C45" s="77"/>
      <c r="D45" s="77"/>
      <c r="E45" s="77"/>
      <c r="F45" s="26"/>
      <c r="G45" s="26"/>
      <c r="H45" s="26"/>
      <c r="I45" s="78"/>
      <c r="J45" s="77"/>
      <c r="K45" s="26"/>
      <c r="L45" s="26"/>
      <c r="M45" s="33"/>
      <c r="N45" s="26"/>
      <c r="O45" s="26"/>
      <c r="P45" s="26"/>
      <c r="Q45" s="26"/>
    </row>
    <row r="46" spans="1:17" x14ac:dyDescent="0.2">
      <c r="A46" s="26"/>
      <c r="B46" s="26"/>
      <c r="C46" s="77"/>
      <c r="D46" s="77"/>
      <c r="E46" s="77"/>
      <c r="F46" s="26"/>
      <c r="G46" s="26"/>
      <c r="H46" s="26"/>
      <c r="I46" s="26"/>
      <c r="J46" s="77"/>
      <c r="K46" s="26"/>
      <c r="L46" s="26"/>
      <c r="M46" s="33"/>
      <c r="N46" s="26"/>
      <c r="O46" s="26"/>
      <c r="P46" s="26"/>
      <c r="Q46" s="26"/>
    </row>
    <row r="47" spans="1:17" x14ac:dyDescent="0.2">
      <c r="A47" s="26"/>
      <c r="B47" s="26"/>
      <c r="C47" s="77"/>
      <c r="D47" s="77"/>
      <c r="E47" s="77"/>
      <c r="F47" s="26"/>
      <c r="G47" s="26"/>
      <c r="H47" s="26"/>
      <c r="I47" s="26"/>
      <c r="J47" s="77"/>
      <c r="K47" s="26"/>
      <c r="L47" s="26"/>
      <c r="M47" s="33"/>
      <c r="N47" s="100"/>
      <c r="O47" s="100"/>
      <c r="P47" s="26"/>
      <c r="Q47" s="26"/>
    </row>
    <row r="48" spans="1:17" x14ac:dyDescent="0.2">
      <c r="A48" s="26"/>
      <c r="B48" s="26"/>
      <c r="C48" s="77"/>
      <c r="D48" s="77"/>
      <c r="E48" s="77"/>
      <c r="F48" s="26"/>
      <c r="G48" s="26"/>
      <c r="H48" s="26"/>
      <c r="I48" s="26"/>
      <c r="J48" s="77"/>
      <c r="K48" s="26"/>
      <c r="L48" s="102"/>
      <c r="M48" s="33"/>
      <c r="N48" s="26"/>
      <c r="O48" s="26"/>
      <c r="P48" s="26"/>
      <c r="Q48" s="26"/>
    </row>
    <row r="49" spans="1:17" x14ac:dyDescent="0.2">
      <c r="A49" s="26"/>
      <c r="B49" s="26"/>
      <c r="C49" s="77"/>
      <c r="D49" s="77"/>
      <c r="E49" s="77"/>
      <c r="F49" s="26"/>
      <c r="G49" s="26"/>
      <c r="H49" s="26"/>
      <c r="I49" s="26"/>
      <c r="J49" s="77"/>
      <c r="K49" s="26"/>
      <c r="L49" s="26"/>
      <c r="M49" s="33"/>
      <c r="N49" s="26"/>
      <c r="O49" s="26"/>
      <c r="P49" s="26"/>
      <c r="Q49" s="26"/>
    </row>
    <row r="50" spans="1:17" x14ac:dyDescent="0.2">
      <c r="A50" s="26"/>
      <c r="B50" s="26"/>
      <c r="C50" s="77"/>
      <c r="D50" s="102"/>
      <c r="E50" s="77"/>
      <c r="F50" s="26"/>
      <c r="G50" s="26"/>
      <c r="H50" s="26"/>
      <c r="I50" s="26"/>
      <c r="J50" s="102"/>
      <c r="K50" s="26"/>
      <c r="L50" s="26"/>
      <c r="M50" s="33"/>
      <c r="N50" s="26"/>
      <c r="O50" s="26"/>
      <c r="P50" s="26"/>
      <c r="Q50" s="26"/>
    </row>
    <row r="51" spans="1:17" x14ac:dyDescent="0.2">
      <c r="A51" s="26"/>
      <c r="B51" s="26"/>
      <c r="C51" s="77"/>
      <c r="D51" s="102"/>
      <c r="E51" s="77"/>
      <c r="F51" s="26"/>
      <c r="G51" s="26"/>
      <c r="H51" s="26"/>
      <c r="I51" s="26"/>
      <c r="J51" s="102"/>
      <c r="K51" s="26"/>
      <c r="L51" s="102"/>
      <c r="M51" s="33"/>
      <c r="N51" s="100"/>
      <c r="O51" s="100"/>
      <c r="P51" s="26"/>
      <c r="Q51" s="96"/>
    </row>
    <row r="52" spans="1:17" x14ac:dyDescent="0.2">
      <c r="A52" s="26"/>
      <c r="B52" s="26"/>
      <c r="C52" s="77"/>
      <c r="D52" s="102"/>
      <c r="E52" s="77"/>
      <c r="F52" s="26"/>
      <c r="G52" s="26"/>
      <c r="H52" s="26"/>
      <c r="I52" s="26"/>
      <c r="J52" s="102"/>
      <c r="K52" s="26"/>
      <c r="L52" s="26"/>
      <c r="M52" s="33"/>
      <c r="N52" s="26"/>
      <c r="O52" s="26"/>
      <c r="P52" s="26"/>
      <c r="Q52" s="26"/>
    </row>
    <row r="53" spans="1:17" x14ac:dyDescent="0.2">
      <c r="A53" s="26"/>
      <c r="B53" s="26"/>
      <c r="C53" s="77"/>
      <c r="D53" s="102"/>
      <c r="E53" s="77"/>
      <c r="F53" s="26"/>
      <c r="G53" s="26"/>
      <c r="H53" s="26"/>
      <c r="I53" s="26"/>
      <c r="J53" s="102"/>
      <c r="K53" s="26"/>
      <c r="L53" s="26"/>
      <c r="M53" s="33"/>
      <c r="N53" s="26"/>
      <c r="O53" s="26"/>
      <c r="P53" s="26"/>
      <c r="Q53" s="26"/>
    </row>
    <row r="54" spans="1:17" x14ac:dyDescent="0.2">
      <c r="A54" s="26"/>
      <c r="B54" s="26"/>
      <c r="C54" s="77"/>
      <c r="D54" s="102"/>
      <c r="E54" s="77"/>
      <c r="F54" s="26"/>
      <c r="G54" s="26"/>
      <c r="H54" s="26"/>
      <c r="I54" s="26"/>
      <c r="J54" s="102"/>
      <c r="K54" s="26"/>
      <c r="L54" s="26"/>
      <c r="M54" s="33"/>
      <c r="N54" s="26"/>
      <c r="O54" s="26"/>
      <c r="P54" s="26"/>
      <c r="Q54" s="26"/>
    </row>
    <row r="55" spans="1:17" x14ac:dyDescent="0.2">
      <c r="A55" s="26"/>
      <c r="B55" s="26"/>
      <c r="C55" s="77"/>
      <c r="D55" s="102"/>
      <c r="E55" s="77"/>
      <c r="F55" s="26"/>
      <c r="G55" s="26"/>
      <c r="H55" s="26"/>
      <c r="I55" s="26"/>
      <c r="J55" s="102"/>
      <c r="K55" s="26"/>
      <c r="L55" s="26"/>
      <c r="M55" s="33"/>
      <c r="N55" s="26"/>
      <c r="O55" s="26"/>
      <c r="P55" s="26"/>
      <c r="Q55" s="26"/>
    </row>
    <row r="56" spans="1:17" x14ac:dyDescent="0.2">
      <c r="A56" s="26"/>
      <c r="B56" s="26"/>
      <c r="C56" s="77"/>
      <c r="D56" s="102"/>
      <c r="E56" s="77"/>
      <c r="F56" s="26"/>
      <c r="G56" s="26"/>
      <c r="H56" s="26"/>
      <c r="I56" s="26"/>
      <c r="J56" s="102"/>
      <c r="K56" s="26"/>
      <c r="L56" s="26"/>
      <c r="M56" s="33"/>
      <c r="N56" s="26"/>
      <c r="O56" s="26"/>
      <c r="P56" s="26"/>
      <c r="Q56" s="26"/>
    </row>
    <row r="57" spans="1:17" x14ac:dyDescent="0.2">
      <c r="A57" s="26"/>
      <c r="B57" s="26"/>
      <c r="C57" s="77"/>
      <c r="D57" s="103"/>
      <c r="E57" s="77"/>
      <c r="F57" s="26"/>
      <c r="G57" s="26"/>
      <c r="H57" s="26"/>
      <c r="I57" s="78"/>
      <c r="J57" s="103"/>
      <c r="K57" s="26"/>
      <c r="L57" s="26"/>
      <c r="M57" s="33"/>
      <c r="N57" s="26"/>
      <c r="O57" s="26"/>
      <c r="P57" s="26"/>
      <c r="Q57" s="26"/>
    </row>
    <row r="58" spans="1:17" x14ac:dyDescent="0.2">
      <c r="A58" s="26"/>
      <c r="B58" s="26"/>
      <c r="C58" s="77"/>
      <c r="D58" s="103"/>
      <c r="E58" s="77"/>
      <c r="F58" s="26"/>
      <c r="G58" s="26"/>
      <c r="H58" s="26"/>
      <c r="I58" s="78"/>
      <c r="J58" s="103"/>
      <c r="K58" s="26"/>
      <c r="L58" s="26"/>
      <c r="M58" s="33"/>
      <c r="N58" s="26"/>
      <c r="O58" s="26"/>
      <c r="P58" s="26"/>
      <c r="Q58" s="26"/>
    </row>
    <row r="59" spans="1:17" x14ac:dyDescent="0.2">
      <c r="A59" s="26"/>
      <c r="B59" s="26"/>
      <c r="C59" s="77"/>
      <c r="D59" s="103"/>
      <c r="E59" s="77"/>
      <c r="F59" s="26"/>
      <c r="G59" s="26"/>
      <c r="H59" s="26"/>
      <c r="I59" s="78"/>
      <c r="J59" s="103"/>
      <c r="K59" s="26"/>
      <c r="L59" s="26"/>
      <c r="M59" s="33"/>
      <c r="N59" s="26"/>
      <c r="O59" s="26"/>
      <c r="P59" s="26"/>
      <c r="Q59" s="26"/>
    </row>
    <row r="60" spans="1:17" x14ac:dyDescent="0.2">
      <c r="A60" s="26"/>
      <c r="B60" s="26"/>
      <c r="C60" s="77"/>
      <c r="D60" s="103"/>
      <c r="E60" s="77"/>
      <c r="F60" s="26"/>
      <c r="G60" s="26"/>
      <c r="H60" s="26"/>
      <c r="I60" s="78"/>
      <c r="J60" s="103"/>
      <c r="K60" s="26"/>
      <c r="L60" s="26"/>
      <c r="M60" s="33"/>
      <c r="N60" s="26"/>
      <c r="O60" s="26"/>
      <c r="P60" s="26"/>
      <c r="Q60" s="26"/>
    </row>
    <row r="61" spans="1:17" x14ac:dyDescent="0.2">
      <c r="A61" s="26"/>
      <c r="B61" s="26"/>
      <c r="C61" s="77"/>
      <c r="D61" s="103"/>
      <c r="E61" s="77"/>
      <c r="F61" s="26"/>
      <c r="G61" s="26"/>
      <c r="H61" s="26"/>
      <c r="I61" s="78"/>
      <c r="J61" s="103"/>
      <c r="K61" s="26"/>
      <c r="L61" s="26"/>
      <c r="M61" s="33"/>
      <c r="N61" s="26"/>
      <c r="O61" s="26"/>
      <c r="P61" s="26"/>
      <c r="Q61" s="26"/>
    </row>
    <row r="62" spans="1:17" x14ac:dyDescent="0.2">
      <c r="A62" s="26"/>
      <c r="B62" s="26"/>
      <c r="C62" s="77"/>
      <c r="D62" s="103"/>
      <c r="E62" s="77"/>
      <c r="F62" s="26"/>
      <c r="G62" s="26"/>
      <c r="H62" s="26"/>
      <c r="I62" s="78"/>
      <c r="J62" s="103"/>
      <c r="K62" s="26"/>
      <c r="L62" s="26"/>
      <c r="M62" s="33"/>
      <c r="N62" s="26"/>
      <c r="O62" s="26"/>
      <c r="P62" s="26"/>
      <c r="Q62" s="26"/>
    </row>
    <row r="63" spans="1:17" x14ac:dyDescent="0.2">
      <c r="A63" s="26"/>
      <c r="B63" s="26"/>
      <c r="C63" s="77"/>
      <c r="D63" s="103"/>
      <c r="E63" s="77"/>
      <c r="F63" s="26"/>
      <c r="G63" s="26"/>
      <c r="H63" s="26"/>
      <c r="I63" s="78"/>
      <c r="J63" s="103"/>
      <c r="K63" s="26"/>
      <c r="L63" s="26"/>
      <c r="M63" s="33"/>
      <c r="N63" s="26"/>
      <c r="O63" s="26"/>
      <c r="P63" s="26"/>
      <c r="Q63" s="26"/>
    </row>
    <row r="64" spans="1:17" x14ac:dyDescent="0.2">
      <c r="A64" s="26"/>
      <c r="B64" s="26"/>
      <c r="C64" s="77"/>
      <c r="D64" s="103"/>
      <c r="E64" s="77"/>
      <c r="F64" s="26"/>
      <c r="G64" s="26"/>
      <c r="H64" s="26"/>
      <c r="I64" s="78"/>
      <c r="J64" s="103"/>
      <c r="K64" s="26"/>
      <c r="L64" s="26"/>
      <c r="M64" s="33"/>
      <c r="N64" s="26"/>
      <c r="O64" s="26"/>
      <c r="P64" s="26"/>
      <c r="Q64" s="26"/>
    </row>
    <row r="65" spans="1:17" x14ac:dyDescent="0.2">
      <c r="A65" s="26"/>
      <c r="B65" s="26"/>
      <c r="C65" s="77"/>
      <c r="D65" s="103"/>
      <c r="E65" s="77"/>
      <c r="F65" s="26"/>
      <c r="G65" s="26"/>
      <c r="H65" s="26"/>
      <c r="I65" s="78"/>
      <c r="J65" s="103"/>
      <c r="K65" s="26"/>
      <c r="L65" s="26"/>
      <c r="M65" s="33"/>
      <c r="N65" s="26"/>
      <c r="O65" s="26"/>
      <c r="P65" s="26"/>
      <c r="Q65" s="26"/>
    </row>
    <row r="66" spans="1:17" x14ac:dyDescent="0.2">
      <c r="A66" s="26"/>
      <c r="B66" s="26"/>
      <c r="C66" s="77"/>
      <c r="D66" s="103"/>
      <c r="E66" s="77"/>
      <c r="F66" s="26"/>
      <c r="G66" s="26"/>
      <c r="H66" s="26"/>
      <c r="I66" s="78"/>
      <c r="J66" s="103"/>
      <c r="K66" s="26"/>
      <c r="L66" s="26"/>
      <c r="M66" s="33"/>
      <c r="N66" s="26"/>
      <c r="O66" s="26"/>
      <c r="P66" s="26"/>
      <c r="Q66" s="26"/>
    </row>
    <row r="67" spans="1:17" x14ac:dyDescent="0.2">
      <c r="A67" s="26"/>
      <c r="B67" s="26"/>
      <c r="C67" s="77"/>
      <c r="D67" s="103"/>
      <c r="E67" s="77"/>
      <c r="F67" s="26"/>
      <c r="G67" s="26"/>
      <c r="H67" s="26"/>
      <c r="I67" s="78"/>
      <c r="J67" s="103"/>
      <c r="K67" s="26"/>
      <c r="L67" s="26"/>
      <c r="M67" s="33"/>
      <c r="N67" s="26"/>
      <c r="O67" s="26"/>
      <c r="P67" s="26"/>
      <c r="Q67" s="26"/>
    </row>
    <row r="68" spans="1:17" x14ac:dyDescent="0.2">
      <c r="A68" s="26"/>
      <c r="B68" s="26"/>
      <c r="C68" s="77"/>
      <c r="D68" s="103"/>
      <c r="E68" s="77"/>
      <c r="F68" s="26"/>
      <c r="G68" s="26"/>
      <c r="H68" s="26"/>
      <c r="I68" s="78"/>
      <c r="J68" s="103"/>
      <c r="K68" s="26"/>
      <c r="L68" s="26"/>
      <c r="M68" s="33"/>
      <c r="N68" s="26"/>
      <c r="O68" s="26"/>
      <c r="P68" s="26"/>
      <c r="Q68" s="26"/>
    </row>
    <row r="69" spans="1:17" x14ac:dyDescent="0.2">
      <c r="A69" s="26"/>
      <c r="B69" s="26"/>
      <c r="C69" s="77"/>
      <c r="D69" s="103"/>
      <c r="E69" s="77"/>
      <c r="F69" s="26"/>
      <c r="G69" s="26"/>
      <c r="H69" s="26"/>
      <c r="I69" s="78"/>
      <c r="J69" s="103"/>
      <c r="K69" s="26"/>
      <c r="L69" s="26"/>
      <c r="M69" s="33"/>
      <c r="N69" s="26"/>
      <c r="O69" s="26"/>
      <c r="P69" s="26"/>
      <c r="Q69" s="26"/>
    </row>
    <row r="70" spans="1:17" x14ac:dyDescent="0.2">
      <c r="A70" s="26"/>
      <c r="B70" s="26"/>
      <c r="C70" s="77"/>
      <c r="D70" s="103"/>
      <c r="E70" s="77"/>
      <c r="F70" s="26"/>
      <c r="G70" s="26"/>
      <c r="H70" s="26"/>
      <c r="I70" s="78"/>
      <c r="J70" s="103"/>
      <c r="K70" s="26"/>
      <c r="L70" s="26"/>
      <c r="M70" s="33"/>
      <c r="N70" s="26"/>
      <c r="O70" s="26"/>
      <c r="P70" s="26"/>
      <c r="Q70" s="26"/>
    </row>
    <row r="71" spans="1:17" x14ac:dyDescent="0.2">
      <c r="A71" s="26"/>
      <c r="B71" s="26"/>
      <c r="C71" s="77"/>
      <c r="D71" s="103"/>
      <c r="E71" s="77"/>
      <c r="F71" s="26"/>
      <c r="G71" s="26"/>
      <c r="H71" s="26"/>
      <c r="I71" s="78"/>
      <c r="J71" s="103"/>
      <c r="K71" s="26"/>
      <c r="L71" s="26"/>
      <c r="M71" s="33"/>
      <c r="N71" s="26"/>
      <c r="O71" s="26"/>
      <c r="P71" s="26"/>
      <c r="Q71" s="26"/>
    </row>
    <row r="72" spans="1:17" x14ac:dyDescent="0.2">
      <c r="A72" s="26"/>
      <c r="B72" s="26"/>
      <c r="C72" s="77"/>
      <c r="D72" s="103"/>
      <c r="E72" s="77"/>
      <c r="F72" s="26"/>
      <c r="G72" s="26"/>
      <c r="H72" s="26"/>
      <c r="I72" s="78"/>
      <c r="J72" s="103"/>
      <c r="K72" s="26"/>
      <c r="L72" s="26"/>
      <c r="M72" s="33"/>
      <c r="N72" s="26"/>
      <c r="O72" s="26"/>
      <c r="P72" s="26"/>
      <c r="Q72" s="26"/>
    </row>
    <row r="73" spans="1:17" x14ac:dyDescent="0.2">
      <c r="A73" s="26"/>
      <c r="B73" s="26"/>
      <c r="C73" s="77"/>
      <c r="D73" s="103"/>
      <c r="E73" s="77"/>
      <c r="F73" s="26"/>
      <c r="G73" s="26"/>
      <c r="H73" s="26"/>
      <c r="I73" s="78"/>
      <c r="J73" s="103"/>
      <c r="K73" s="26"/>
      <c r="L73" s="26"/>
      <c r="M73" s="33"/>
      <c r="N73" s="26"/>
      <c r="O73" s="26"/>
      <c r="P73" s="26"/>
      <c r="Q73" s="26"/>
    </row>
    <row r="74" spans="1:17" x14ac:dyDescent="0.2">
      <c r="A74" s="26"/>
      <c r="B74" s="26"/>
      <c r="C74" s="77"/>
      <c r="D74" s="103"/>
      <c r="E74" s="77"/>
      <c r="F74" s="26"/>
      <c r="G74" s="26"/>
      <c r="H74" s="26"/>
      <c r="I74" s="78"/>
      <c r="J74" s="103"/>
      <c r="K74" s="26"/>
      <c r="L74" s="26"/>
      <c r="M74" s="33"/>
      <c r="N74" s="26"/>
      <c r="O74" s="26"/>
      <c r="P74" s="26"/>
      <c r="Q74" s="26"/>
    </row>
    <row r="75" spans="1:17" x14ac:dyDescent="0.2">
      <c r="A75" s="26"/>
      <c r="B75" s="26"/>
      <c r="C75" s="77"/>
      <c r="D75" s="103"/>
      <c r="E75" s="77"/>
      <c r="F75" s="26"/>
      <c r="G75" s="26"/>
      <c r="H75" s="26"/>
      <c r="I75" s="78"/>
      <c r="J75" s="103"/>
      <c r="K75" s="26"/>
      <c r="L75" s="26"/>
      <c r="M75" s="33"/>
      <c r="N75" s="26"/>
      <c r="O75" s="26"/>
      <c r="P75" s="26"/>
      <c r="Q75" s="26"/>
    </row>
    <row r="76" spans="1:17" x14ac:dyDescent="0.2">
      <c r="A76" s="26"/>
      <c r="B76" s="26"/>
      <c r="C76" s="77"/>
      <c r="D76" s="103"/>
      <c r="E76" s="77"/>
      <c r="F76" s="26"/>
      <c r="G76" s="26"/>
      <c r="H76" s="26"/>
      <c r="I76" s="78"/>
      <c r="J76" s="103"/>
      <c r="K76" s="26"/>
      <c r="L76" s="26"/>
      <c r="M76" s="33"/>
      <c r="N76" s="26"/>
      <c r="O76" s="26"/>
      <c r="P76" s="26"/>
      <c r="Q76" s="26"/>
    </row>
    <row r="77" spans="1:17" x14ac:dyDescent="0.2">
      <c r="A77" s="26"/>
      <c r="B77" s="26"/>
      <c r="C77" s="77"/>
      <c r="D77" s="103"/>
      <c r="E77" s="77"/>
      <c r="F77" s="26"/>
      <c r="G77" s="26"/>
      <c r="H77" s="26"/>
      <c r="I77" s="78"/>
      <c r="J77" s="103"/>
      <c r="K77" s="26"/>
      <c r="L77" s="26"/>
      <c r="M77" s="33"/>
      <c r="N77" s="26"/>
      <c r="O77" s="26"/>
      <c r="P77" s="26"/>
      <c r="Q77" s="26"/>
    </row>
    <row r="78" spans="1:17" x14ac:dyDescent="0.2">
      <c r="A78" s="26"/>
      <c r="B78" s="26"/>
      <c r="C78" s="77"/>
      <c r="D78" s="103"/>
      <c r="E78" s="77"/>
      <c r="F78" s="26"/>
      <c r="G78" s="26"/>
      <c r="H78" s="26"/>
      <c r="I78" s="78"/>
      <c r="J78" s="103"/>
      <c r="K78" s="26"/>
      <c r="L78" s="26"/>
      <c r="M78" s="33"/>
      <c r="N78" s="26"/>
      <c r="O78" s="26"/>
      <c r="P78" s="26"/>
      <c r="Q78" s="26"/>
    </row>
    <row r="79" spans="1:17" x14ac:dyDescent="0.2">
      <c r="A79" s="26"/>
      <c r="B79" s="26"/>
      <c r="C79" s="77"/>
      <c r="D79" s="103"/>
      <c r="E79" s="77"/>
      <c r="F79" s="26"/>
      <c r="G79" s="26"/>
      <c r="H79" s="26"/>
      <c r="I79" s="78"/>
      <c r="J79" s="103"/>
      <c r="K79" s="26"/>
      <c r="L79" s="26"/>
      <c r="M79" s="33"/>
      <c r="N79" s="26"/>
      <c r="O79" s="26"/>
      <c r="P79" s="26"/>
      <c r="Q79" s="26"/>
    </row>
    <row r="80" spans="1:17" x14ac:dyDescent="0.2">
      <c r="A80" s="26"/>
      <c r="B80" s="26"/>
      <c r="C80" s="77"/>
      <c r="D80" s="103"/>
      <c r="E80" s="77"/>
      <c r="F80" s="26"/>
      <c r="G80" s="26"/>
      <c r="H80" s="26"/>
      <c r="I80" s="78"/>
      <c r="J80" s="103"/>
      <c r="K80" s="26"/>
      <c r="L80" s="26"/>
      <c r="M80" s="33"/>
      <c r="N80" s="26"/>
      <c r="O80" s="26"/>
      <c r="P80" s="26"/>
      <c r="Q80" s="26"/>
    </row>
    <row r="81" spans="1:17" x14ac:dyDescent="0.2">
      <c r="A81" s="26"/>
      <c r="B81" s="26"/>
      <c r="C81" s="77"/>
      <c r="D81" s="103"/>
      <c r="E81" s="77"/>
      <c r="F81" s="26"/>
      <c r="G81" s="26"/>
      <c r="H81" s="26"/>
      <c r="I81" s="78"/>
      <c r="J81" s="103"/>
      <c r="K81" s="26"/>
      <c r="L81" s="26"/>
      <c r="M81" s="33"/>
      <c r="N81" s="26"/>
      <c r="O81" s="26"/>
      <c r="P81" s="26"/>
      <c r="Q81" s="26"/>
    </row>
    <row r="82" spans="1:17" x14ac:dyDescent="0.2">
      <c r="A82" s="26"/>
      <c r="B82" s="26"/>
      <c r="C82" s="77"/>
      <c r="D82" s="103"/>
      <c r="E82" s="77"/>
      <c r="F82" s="26"/>
      <c r="G82" s="26"/>
      <c r="H82" s="26"/>
      <c r="I82" s="78"/>
      <c r="J82" s="103"/>
      <c r="K82" s="26"/>
      <c r="L82" s="26"/>
      <c r="M82" s="33"/>
      <c r="N82" s="26"/>
      <c r="O82" s="26"/>
      <c r="P82" s="26"/>
      <c r="Q82" s="26"/>
    </row>
    <row r="83" spans="1:17" x14ac:dyDescent="0.2">
      <c r="A83" s="26"/>
      <c r="B83" s="26"/>
      <c r="C83" s="77"/>
      <c r="D83" s="103"/>
      <c r="E83" s="77"/>
      <c r="F83" s="26"/>
      <c r="G83" s="26"/>
      <c r="H83" s="26"/>
      <c r="I83" s="78"/>
      <c r="J83" s="103"/>
      <c r="K83" s="26"/>
      <c r="L83" s="26"/>
      <c r="M83" s="33"/>
      <c r="N83" s="26"/>
      <c r="O83" s="26"/>
      <c r="P83" s="26"/>
      <c r="Q83" s="26"/>
    </row>
    <row r="84" spans="1:17" ht="15" x14ac:dyDescent="0.25">
      <c r="A84" s="26"/>
      <c r="B84" s="26"/>
      <c r="C84" s="77"/>
      <c r="D84" s="103"/>
      <c r="E84" s="77"/>
      <c r="F84" s="26"/>
      <c r="G84" s="26"/>
      <c r="H84" s="26"/>
      <c r="I84" s="108"/>
      <c r="J84" s="109"/>
      <c r="K84" s="26"/>
      <c r="L84" s="26"/>
      <c r="M84" s="33"/>
      <c r="N84" s="26"/>
      <c r="O84" s="26"/>
      <c r="P84" s="26"/>
      <c r="Q84" s="26"/>
    </row>
    <row r="85" spans="1:17" x14ac:dyDescent="0.2">
      <c r="A85" s="26"/>
      <c r="B85" s="26"/>
      <c r="C85" s="77"/>
      <c r="D85" s="103"/>
      <c r="E85" s="77"/>
      <c r="F85" s="26"/>
      <c r="G85" s="26"/>
      <c r="H85" s="26"/>
      <c r="I85" s="78"/>
      <c r="J85" s="103"/>
      <c r="K85" s="26"/>
      <c r="L85" s="26"/>
      <c r="M85" s="33"/>
      <c r="N85" s="26"/>
      <c r="O85" s="26"/>
      <c r="P85" s="26"/>
      <c r="Q85" s="26"/>
    </row>
    <row r="86" spans="1:17" ht="15" x14ac:dyDescent="0.25">
      <c r="A86" s="26"/>
      <c r="B86" s="26"/>
      <c r="C86" s="77"/>
      <c r="D86" s="103"/>
      <c r="E86" s="77"/>
      <c r="F86" s="26"/>
      <c r="G86" s="26"/>
      <c r="H86" s="26"/>
      <c r="I86" s="108"/>
      <c r="J86" s="109"/>
      <c r="K86" s="26"/>
      <c r="L86" s="26"/>
      <c r="M86" s="33"/>
      <c r="N86" s="26"/>
      <c r="O86" s="26"/>
      <c r="P86" s="26"/>
      <c r="Q86" s="26"/>
    </row>
    <row r="87" spans="1:17" ht="15" x14ac:dyDescent="0.25">
      <c r="A87" s="26"/>
      <c r="B87" s="26"/>
      <c r="C87" s="77"/>
      <c r="D87" s="103"/>
      <c r="E87" s="77"/>
      <c r="F87" s="26"/>
      <c r="G87" s="26"/>
      <c r="H87" s="26"/>
      <c r="I87" s="108"/>
      <c r="J87" s="109"/>
      <c r="K87" s="26"/>
      <c r="L87" s="26"/>
      <c r="M87" s="33"/>
      <c r="N87" s="26"/>
      <c r="O87" s="26"/>
      <c r="P87" s="26"/>
      <c r="Q87" s="26"/>
    </row>
    <row r="88" spans="1:17" x14ac:dyDescent="0.2">
      <c r="A88" s="26"/>
      <c r="B88" s="26"/>
      <c r="C88" s="77"/>
      <c r="D88" s="103"/>
      <c r="E88" s="77"/>
      <c r="F88" s="26"/>
      <c r="G88" s="26"/>
      <c r="H88" s="26"/>
      <c r="I88" s="78"/>
      <c r="J88" s="103"/>
      <c r="K88" s="26"/>
      <c r="L88" s="26"/>
      <c r="M88" s="33"/>
      <c r="N88" s="26"/>
      <c r="O88" s="26"/>
      <c r="P88" s="26"/>
      <c r="Q88" s="26"/>
    </row>
    <row r="89" spans="1:17" x14ac:dyDescent="0.2">
      <c r="A89" s="26"/>
      <c r="B89" s="26"/>
      <c r="C89" s="77"/>
      <c r="D89" s="103"/>
      <c r="E89" s="77"/>
      <c r="F89" s="26"/>
      <c r="G89" s="26"/>
      <c r="H89" s="26"/>
      <c r="I89" s="78"/>
      <c r="J89" s="103"/>
      <c r="K89" s="26"/>
      <c r="L89" s="26"/>
      <c r="M89" s="33"/>
      <c r="N89" s="26"/>
      <c r="O89" s="26"/>
      <c r="P89" s="26"/>
      <c r="Q89" s="26"/>
    </row>
    <row r="90" spans="1:17" x14ac:dyDescent="0.2">
      <c r="A90" s="26"/>
      <c r="B90" s="26"/>
      <c r="C90" s="77"/>
      <c r="D90" s="103"/>
      <c r="E90" s="77"/>
      <c r="F90" s="26"/>
      <c r="G90" s="26"/>
      <c r="H90" s="26"/>
      <c r="I90" s="78"/>
      <c r="J90" s="103"/>
      <c r="K90" s="26"/>
      <c r="L90" s="26"/>
      <c r="M90" s="33"/>
      <c r="N90" s="26"/>
      <c r="O90" s="26"/>
      <c r="P90" s="26"/>
      <c r="Q90" s="26"/>
    </row>
    <row r="91" spans="1:17" x14ac:dyDescent="0.2">
      <c r="A91" s="26"/>
      <c r="B91" s="26"/>
      <c r="C91" s="77"/>
      <c r="D91" s="103"/>
      <c r="E91" s="77"/>
      <c r="F91" s="26"/>
      <c r="G91" s="26"/>
      <c r="H91" s="26"/>
      <c r="I91" s="78"/>
      <c r="J91" s="103"/>
      <c r="K91" s="26"/>
      <c r="L91" s="26"/>
      <c r="M91" s="33"/>
      <c r="N91" s="26"/>
      <c r="O91" s="26"/>
      <c r="P91" s="26"/>
      <c r="Q91" s="26"/>
    </row>
    <row r="92" spans="1:17" x14ac:dyDescent="0.2">
      <c r="A92" s="26"/>
      <c r="B92" s="26"/>
      <c r="C92" s="77"/>
      <c r="D92" s="103"/>
      <c r="E92" s="77"/>
      <c r="F92" s="26"/>
      <c r="G92" s="26"/>
      <c r="H92" s="26"/>
      <c r="I92" s="78"/>
      <c r="J92" s="103"/>
      <c r="K92" s="26"/>
      <c r="L92" s="26"/>
      <c r="M92" s="33"/>
      <c r="N92" s="26"/>
      <c r="O92" s="26"/>
      <c r="P92" s="26"/>
      <c r="Q92" s="26"/>
    </row>
    <row r="93" spans="1:17" x14ac:dyDescent="0.2">
      <c r="A93" s="26"/>
      <c r="B93" s="26"/>
      <c r="C93" s="77"/>
      <c r="D93" s="103"/>
      <c r="E93" s="77"/>
      <c r="F93" s="26"/>
      <c r="G93" s="26"/>
      <c r="H93" s="26"/>
      <c r="I93" s="78"/>
      <c r="J93" s="103"/>
      <c r="K93" s="26"/>
      <c r="L93" s="26"/>
      <c r="M93" s="33"/>
      <c r="N93" s="26"/>
      <c r="O93" s="26"/>
      <c r="P93" s="26"/>
      <c r="Q93" s="26"/>
    </row>
    <row r="94" spans="1:17" x14ac:dyDescent="0.2">
      <c r="A94" s="26"/>
      <c r="B94" s="26"/>
      <c r="C94" s="77"/>
      <c r="D94" s="103"/>
      <c r="E94" s="77"/>
      <c r="F94" s="26"/>
      <c r="G94" s="26"/>
      <c r="H94" s="26"/>
      <c r="I94" s="78"/>
      <c r="J94" s="103"/>
      <c r="K94" s="26"/>
      <c r="L94" s="26"/>
      <c r="M94" s="33"/>
      <c r="N94" s="26"/>
      <c r="O94" s="26"/>
      <c r="P94" s="26"/>
      <c r="Q94" s="26"/>
    </row>
    <row r="95" spans="1:17" x14ac:dyDescent="0.2">
      <c r="A95" s="26"/>
      <c r="B95" s="26"/>
      <c r="C95" s="77"/>
      <c r="D95" s="103"/>
      <c r="E95" s="77"/>
      <c r="F95" s="26"/>
      <c r="G95" s="26"/>
      <c r="H95" s="26"/>
      <c r="I95" s="78"/>
      <c r="J95" s="103"/>
      <c r="K95" s="26"/>
      <c r="L95" s="26"/>
      <c r="M95" s="33"/>
      <c r="N95" s="26"/>
      <c r="O95" s="26"/>
      <c r="P95" s="26"/>
      <c r="Q95" s="26"/>
    </row>
    <row r="96" spans="1:17" x14ac:dyDescent="0.2">
      <c r="A96" s="26"/>
      <c r="B96" s="26"/>
      <c r="C96" s="77"/>
      <c r="D96" s="103"/>
      <c r="E96" s="77"/>
      <c r="F96" s="26"/>
      <c r="G96" s="26"/>
      <c r="H96" s="26"/>
      <c r="I96" s="78"/>
      <c r="J96" s="103"/>
      <c r="K96" s="26"/>
      <c r="L96" s="26"/>
      <c r="M96" s="33"/>
      <c r="N96" s="26"/>
      <c r="O96" s="26"/>
      <c r="P96" s="26"/>
      <c r="Q96" s="26"/>
    </row>
    <row r="97" spans="1:17" x14ac:dyDescent="0.2">
      <c r="A97" s="26"/>
      <c r="B97" s="26"/>
      <c r="C97" s="77"/>
      <c r="D97" s="103"/>
      <c r="E97" s="77"/>
      <c r="F97" s="26"/>
      <c r="G97" s="26"/>
      <c r="H97" s="26"/>
      <c r="I97" s="78"/>
      <c r="J97" s="103"/>
      <c r="K97" s="26"/>
      <c r="L97" s="26"/>
      <c r="M97" s="33"/>
      <c r="N97" s="26"/>
      <c r="O97" s="26"/>
      <c r="P97" s="26"/>
      <c r="Q97" s="26"/>
    </row>
    <row r="98" spans="1:17" x14ac:dyDescent="0.2">
      <c r="A98" s="26"/>
      <c r="B98" s="26"/>
      <c r="C98" s="77"/>
      <c r="D98" s="103"/>
      <c r="E98" s="77"/>
      <c r="F98" s="26"/>
      <c r="G98" s="26"/>
      <c r="H98" s="26"/>
      <c r="I98" s="78"/>
      <c r="J98" s="103"/>
      <c r="K98" s="26"/>
      <c r="L98" s="26"/>
      <c r="M98" s="33"/>
      <c r="N98" s="26"/>
      <c r="O98" s="26"/>
      <c r="P98" s="26"/>
      <c r="Q98" s="26"/>
    </row>
    <row r="99" spans="1:17" x14ac:dyDescent="0.2">
      <c r="A99" s="26"/>
      <c r="B99" s="26"/>
      <c r="C99" s="77"/>
      <c r="D99" s="103"/>
      <c r="E99" s="77"/>
      <c r="F99" s="26"/>
      <c r="G99" s="26"/>
      <c r="H99" s="26"/>
      <c r="I99" s="78"/>
      <c r="J99" s="103"/>
      <c r="K99" s="26"/>
      <c r="L99" s="26"/>
      <c r="M99" s="33"/>
      <c r="N99" s="26"/>
      <c r="O99" s="26"/>
      <c r="P99" s="26"/>
      <c r="Q99" s="26"/>
    </row>
    <row r="100" spans="1:17" x14ac:dyDescent="0.2">
      <c r="A100" s="26"/>
      <c r="B100" s="26"/>
      <c r="C100" s="77"/>
      <c r="D100" s="103"/>
      <c r="E100" s="77"/>
      <c r="F100" s="26"/>
      <c r="G100" s="26"/>
      <c r="H100" s="26"/>
      <c r="I100" s="78"/>
      <c r="J100" s="103"/>
      <c r="K100" s="26"/>
      <c r="L100" s="26"/>
      <c r="M100" s="33"/>
      <c r="N100" s="26"/>
      <c r="O100" s="26"/>
      <c r="P100" s="26"/>
      <c r="Q100" s="26"/>
    </row>
    <row r="101" spans="1:17" x14ac:dyDescent="0.2">
      <c r="A101" s="26"/>
      <c r="B101" s="26"/>
      <c r="C101" s="77"/>
      <c r="D101" s="103"/>
      <c r="E101" s="77"/>
      <c r="F101" s="26"/>
      <c r="G101" s="26"/>
      <c r="H101" s="26"/>
      <c r="I101" s="78"/>
      <c r="J101" s="103"/>
      <c r="K101" s="26"/>
      <c r="L101" s="26"/>
      <c r="M101" s="33"/>
      <c r="N101" s="26"/>
      <c r="O101" s="26"/>
      <c r="P101" s="26"/>
      <c r="Q101" s="26"/>
    </row>
    <row r="102" spans="1:17" x14ac:dyDescent="0.2">
      <c r="A102" s="12"/>
      <c r="B102" s="77"/>
      <c r="C102" s="77"/>
      <c r="D102" s="77"/>
      <c r="E102" s="77"/>
      <c r="F102" s="80"/>
      <c r="G102" s="77"/>
      <c r="H102" s="38"/>
      <c r="I102" s="81"/>
      <c r="J102" s="77"/>
      <c r="K102" s="77"/>
      <c r="L102" s="77"/>
      <c r="M102" s="33"/>
      <c r="N102" s="82"/>
      <c r="O102" s="12"/>
      <c r="P102" s="33"/>
      <c r="Q102" s="26"/>
    </row>
    <row r="103" spans="1:17" x14ac:dyDescent="0.2">
      <c r="A103" s="84"/>
      <c r="B103" s="85"/>
      <c r="C103" s="85"/>
      <c r="D103" s="85"/>
      <c r="E103" s="77"/>
      <c r="F103" s="86"/>
      <c r="G103" s="85"/>
      <c r="H103" s="87"/>
      <c r="I103" s="88"/>
      <c r="J103" s="77"/>
      <c r="K103" s="85"/>
      <c r="L103" s="85"/>
      <c r="M103" s="89"/>
      <c r="N103" s="90"/>
      <c r="O103" s="84"/>
      <c r="P103" s="89"/>
      <c r="Q103" s="91"/>
    </row>
    <row r="104" spans="1:17" x14ac:dyDescent="0.2">
      <c r="A104" s="12"/>
      <c r="B104" s="77"/>
      <c r="C104" s="77"/>
      <c r="D104" s="77"/>
      <c r="E104" s="77"/>
      <c r="F104" s="80"/>
      <c r="G104" s="77"/>
      <c r="H104" s="38"/>
      <c r="I104" s="81"/>
      <c r="J104" s="77"/>
      <c r="K104" s="77"/>
      <c r="L104" s="77"/>
      <c r="M104" s="33"/>
      <c r="N104" s="82"/>
      <c r="O104" s="12"/>
      <c r="P104" s="33"/>
      <c r="Q104" s="26"/>
    </row>
    <row r="105" spans="1:17" x14ac:dyDescent="0.2">
      <c r="A105" s="12"/>
      <c r="B105" s="77"/>
      <c r="C105" s="77"/>
      <c r="D105" s="77"/>
      <c r="E105" s="79"/>
      <c r="F105" s="80"/>
      <c r="G105" s="77"/>
      <c r="H105" s="38"/>
      <c r="I105" s="81"/>
      <c r="J105" s="77"/>
      <c r="K105" s="77"/>
      <c r="L105" s="77"/>
      <c r="M105" s="33"/>
      <c r="N105" s="82"/>
      <c r="O105" s="33"/>
      <c r="P105" s="33"/>
      <c r="Q105" s="26"/>
    </row>
    <row r="106" spans="1:17" x14ac:dyDescent="0.2">
      <c r="A106" s="12"/>
      <c r="B106" s="77"/>
      <c r="C106" s="77"/>
      <c r="D106" s="77"/>
      <c r="E106" s="79"/>
      <c r="F106" s="80"/>
      <c r="G106" s="77"/>
      <c r="H106" s="38"/>
      <c r="I106" s="81"/>
      <c r="J106" s="77"/>
      <c r="K106" s="77"/>
      <c r="L106" s="77"/>
      <c r="M106" s="33"/>
      <c r="N106" s="82"/>
      <c r="O106" s="12"/>
      <c r="P106" s="33"/>
      <c r="Q106" s="26"/>
    </row>
    <row r="107" spans="1:17" x14ac:dyDescent="0.2">
      <c r="A107" s="12"/>
      <c r="B107" s="77"/>
      <c r="C107" s="77"/>
      <c r="D107" s="77"/>
      <c r="E107" s="79"/>
      <c r="F107" s="80"/>
      <c r="G107" s="77"/>
      <c r="H107" s="38"/>
      <c r="I107" s="81"/>
      <c r="J107" s="77"/>
      <c r="K107" s="77"/>
      <c r="L107" s="77"/>
      <c r="M107" s="33"/>
      <c r="N107" s="82"/>
      <c r="O107" s="12"/>
      <c r="P107" s="33"/>
      <c r="Q107" s="26"/>
    </row>
    <row r="108" spans="1:17" x14ac:dyDescent="0.2">
      <c r="A108" s="12"/>
      <c r="B108" s="77"/>
      <c r="C108" s="77"/>
      <c r="D108" s="77"/>
      <c r="E108" s="79"/>
      <c r="F108" s="80"/>
      <c r="G108" s="77"/>
      <c r="H108" s="38"/>
      <c r="I108" s="81"/>
      <c r="J108" s="77"/>
      <c r="K108" s="77"/>
      <c r="L108" s="77"/>
      <c r="M108" s="33"/>
      <c r="N108" s="82"/>
      <c r="O108" s="12"/>
      <c r="P108" s="33"/>
      <c r="Q108" s="26"/>
    </row>
    <row r="109" spans="1:17" x14ac:dyDescent="0.2">
      <c r="A109" s="12"/>
      <c r="B109" s="77"/>
      <c r="C109" s="77"/>
      <c r="D109" s="77"/>
      <c r="E109" s="79"/>
      <c r="F109" s="80"/>
      <c r="G109" s="77"/>
      <c r="H109" s="38"/>
      <c r="I109" s="81"/>
      <c r="J109" s="77"/>
      <c r="K109" s="77"/>
      <c r="L109" s="77"/>
      <c r="M109" s="33"/>
      <c r="N109" s="82"/>
      <c r="O109" s="12"/>
      <c r="P109" s="33"/>
      <c r="Q109" s="26"/>
    </row>
    <row r="110" spans="1:17" x14ac:dyDescent="0.2">
      <c r="A110" s="12"/>
      <c r="B110" s="77"/>
      <c r="C110" s="77"/>
      <c r="D110" s="77"/>
      <c r="E110" s="79"/>
      <c r="F110" s="80"/>
      <c r="G110" s="77"/>
      <c r="H110" s="38"/>
      <c r="I110" s="81"/>
      <c r="J110" s="77"/>
      <c r="K110" s="77"/>
      <c r="L110" s="77"/>
      <c r="M110" s="33"/>
      <c r="N110" s="82"/>
      <c r="O110" s="12"/>
      <c r="P110" s="33"/>
      <c r="Q110" s="26"/>
    </row>
    <row r="111" spans="1:17" x14ac:dyDescent="0.2">
      <c r="A111" s="12"/>
      <c r="B111" s="77"/>
      <c r="C111" s="77"/>
      <c r="D111" s="77"/>
      <c r="E111" s="79"/>
      <c r="F111" s="80"/>
      <c r="G111" s="77"/>
      <c r="H111" s="38"/>
      <c r="I111" s="83"/>
      <c r="J111" s="77"/>
      <c r="K111" s="77"/>
      <c r="L111" s="77"/>
      <c r="M111" s="33"/>
      <c r="N111" s="82"/>
      <c r="O111" s="12"/>
      <c r="P111" s="33"/>
      <c r="Q111" s="26"/>
    </row>
    <row r="112" spans="1:17" x14ac:dyDescent="0.2">
      <c r="A112" s="12"/>
      <c r="B112" s="77"/>
      <c r="C112" s="77"/>
      <c r="D112" s="77"/>
      <c r="E112" s="79"/>
      <c r="F112" s="80"/>
      <c r="G112" s="77"/>
      <c r="H112" s="38"/>
      <c r="I112" s="81"/>
      <c r="J112" s="77"/>
      <c r="K112" s="77"/>
      <c r="L112" s="77"/>
      <c r="M112" s="33"/>
      <c r="N112" s="82"/>
      <c r="O112" s="12"/>
      <c r="P112" s="33"/>
      <c r="Q112" s="26"/>
    </row>
    <row r="113" spans="1:17" x14ac:dyDescent="0.2">
      <c r="A113" s="12"/>
      <c r="B113" s="77"/>
      <c r="C113" s="77"/>
      <c r="D113" s="77"/>
      <c r="E113" s="79"/>
      <c r="F113" s="80"/>
      <c r="G113" s="77"/>
      <c r="H113" s="38"/>
      <c r="I113" s="81"/>
      <c r="J113" s="77"/>
      <c r="K113" s="77"/>
      <c r="L113" s="77"/>
      <c r="M113" s="33"/>
      <c r="N113" s="82"/>
      <c r="O113" s="12"/>
      <c r="P113" s="33"/>
      <c r="Q113" s="26"/>
    </row>
    <row r="114" spans="1:17" x14ac:dyDescent="0.2">
      <c r="A114" s="12"/>
      <c r="B114" s="77"/>
      <c r="C114" s="77"/>
      <c r="D114" s="77"/>
      <c r="E114" s="79"/>
      <c r="F114" s="80"/>
      <c r="G114" s="77"/>
      <c r="H114" s="38"/>
      <c r="I114" s="81"/>
      <c r="J114" s="77"/>
      <c r="K114" s="77"/>
      <c r="L114" s="77"/>
      <c r="M114" s="33"/>
      <c r="N114" s="82"/>
      <c r="O114" s="12"/>
      <c r="P114" s="33"/>
      <c r="Q114" s="26"/>
    </row>
    <row r="115" spans="1:17" x14ac:dyDescent="0.2">
      <c r="A115" s="12"/>
      <c r="B115" s="77"/>
      <c r="C115" s="77"/>
      <c r="D115" s="77"/>
      <c r="E115" s="79"/>
      <c r="F115" s="80"/>
      <c r="G115" s="77"/>
      <c r="H115" s="38"/>
      <c r="I115" s="81"/>
      <c r="J115" s="77"/>
      <c r="K115" s="77"/>
      <c r="L115" s="77"/>
      <c r="M115" s="33"/>
      <c r="N115" s="82"/>
      <c r="O115" s="12"/>
      <c r="P115" s="33"/>
      <c r="Q115" s="26"/>
    </row>
    <row r="116" spans="1:17" x14ac:dyDescent="0.2">
      <c r="A116" s="12"/>
      <c r="B116" s="77"/>
      <c r="C116" s="77"/>
      <c r="D116" s="77"/>
      <c r="E116" s="79"/>
      <c r="F116" s="80"/>
      <c r="G116" s="77"/>
      <c r="H116" s="38"/>
      <c r="I116" s="81"/>
      <c r="J116" s="77"/>
      <c r="K116" s="77"/>
      <c r="L116" s="77"/>
      <c r="M116" s="33"/>
      <c r="N116" s="82"/>
      <c r="O116" s="12"/>
      <c r="P116" s="33"/>
      <c r="Q116" s="26"/>
    </row>
    <row r="117" spans="1:17" x14ac:dyDescent="0.2">
      <c r="A117" s="12"/>
      <c r="B117" s="77"/>
      <c r="C117" s="77"/>
      <c r="D117" s="77"/>
      <c r="E117" s="79"/>
      <c r="F117" s="80"/>
      <c r="G117" s="77"/>
      <c r="H117" s="38"/>
      <c r="I117" s="81"/>
      <c r="J117" s="77"/>
      <c r="K117" s="77"/>
      <c r="L117" s="77"/>
      <c r="M117" s="33"/>
      <c r="N117" s="82"/>
      <c r="O117" s="12"/>
      <c r="P117" s="33"/>
      <c r="Q117" s="26"/>
    </row>
    <row r="118" spans="1:17" x14ac:dyDescent="0.2">
      <c r="A118" s="12"/>
      <c r="B118" s="77"/>
      <c r="C118" s="77"/>
      <c r="D118" s="77"/>
      <c r="E118" s="79"/>
      <c r="F118" s="80"/>
      <c r="G118" s="77"/>
      <c r="H118" s="38"/>
      <c r="I118" s="81"/>
      <c r="J118" s="77"/>
      <c r="K118" s="77"/>
      <c r="L118" s="77"/>
      <c r="M118" s="33"/>
      <c r="N118" s="82"/>
      <c r="O118" s="12"/>
      <c r="P118" s="33"/>
      <c r="Q118" s="26"/>
    </row>
    <row r="119" spans="1:17" x14ac:dyDescent="0.2">
      <c r="A119" s="12"/>
      <c r="B119" s="77"/>
      <c r="C119" s="77"/>
      <c r="D119" s="77"/>
      <c r="E119" s="79"/>
      <c r="F119" s="80"/>
      <c r="G119" s="77"/>
      <c r="H119" s="38"/>
      <c r="I119" s="81"/>
      <c r="J119" s="77"/>
      <c r="K119" s="77"/>
      <c r="L119" s="77"/>
      <c r="M119" s="33"/>
      <c r="N119" s="82"/>
      <c r="O119" s="12"/>
      <c r="P119" s="33"/>
      <c r="Q119" s="26"/>
    </row>
    <row r="120" spans="1:17" x14ac:dyDescent="0.2">
      <c r="A120" s="12"/>
      <c r="B120" s="77"/>
      <c r="C120" s="77"/>
      <c r="D120" s="77"/>
      <c r="E120" s="79"/>
      <c r="F120" s="80"/>
      <c r="G120" s="77"/>
      <c r="H120" s="38"/>
      <c r="I120" s="81"/>
      <c r="J120" s="77"/>
      <c r="K120" s="77"/>
      <c r="L120" s="77"/>
      <c r="M120" s="33"/>
      <c r="N120" s="82"/>
      <c r="O120" s="12"/>
      <c r="P120" s="33"/>
      <c r="Q120" s="26"/>
    </row>
    <row r="121" spans="1:17" x14ac:dyDescent="0.2">
      <c r="A121" s="12"/>
      <c r="B121" s="77"/>
      <c r="C121" s="77"/>
      <c r="D121" s="77"/>
      <c r="E121" s="79"/>
      <c r="F121" s="80"/>
      <c r="G121" s="77"/>
      <c r="H121" s="38"/>
      <c r="I121" s="81"/>
      <c r="J121" s="77"/>
      <c r="K121" s="77"/>
      <c r="L121" s="77"/>
      <c r="M121" s="33"/>
      <c r="N121" s="82"/>
      <c r="O121" s="12"/>
      <c r="P121" s="33"/>
      <c r="Q121" s="26"/>
    </row>
    <row r="122" spans="1:17" x14ac:dyDescent="0.2">
      <c r="A122" s="12"/>
      <c r="B122" s="77"/>
      <c r="C122" s="77"/>
      <c r="D122" s="77"/>
      <c r="E122" s="79"/>
      <c r="F122" s="80"/>
      <c r="G122" s="77"/>
      <c r="H122" s="38"/>
      <c r="I122" s="81"/>
      <c r="J122" s="77"/>
      <c r="K122" s="77"/>
      <c r="L122" s="77"/>
      <c r="M122" s="33"/>
      <c r="N122" s="82"/>
      <c r="O122" s="12"/>
      <c r="P122" s="33"/>
      <c r="Q122" s="26"/>
    </row>
    <row r="123" spans="1:17" x14ac:dyDescent="0.2">
      <c r="A123" s="12"/>
      <c r="B123" s="77"/>
      <c r="C123" s="77"/>
      <c r="D123" s="77"/>
      <c r="E123" s="79"/>
      <c r="F123" s="80"/>
      <c r="G123" s="77"/>
      <c r="H123" s="38"/>
      <c r="I123" s="81"/>
      <c r="J123" s="77"/>
      <c r="K123" s="77"/>
      <c r="L123" s="77"/>
      <c r="M123" s="33"/>
      <c r="N123" s="82"/>
      <c r="O123" s="12"/>
      <c r="P123" s="33"/>
      <c r="Q123" s="26"/>
    </row>
    <row r="124" spans="1:17" x14ac:dyDescent="0.2">
      <c r="A124" s="12"/>
      <c r="B124" s="77"/>
      <c r="C124" s="77"/>
      <c r="D124" s="77"/>
      <c r="E124" s="79"/>
      <c r="F124" s="80"/>
      <c r="G124" s="77"/>
      <c r="H124" s="38"/>
      <c r="I124" s="81"/>
      <c r="J124" s="77"/>
      <c r="K124" s="77"/>
      <c r="L124" s="77"/>
      <c r="M124" s="33"/>
      <c r="N124" s="82"/>
      <c r="O124" s="12"/>
      <c r="P124" s="33"/>
      <c r="Q124" s="26"/>
    </row>
    <row r="125" spans="1:17" x14ac:dyDescent="0.2">
      <c r="A125" s="12"/>
      <c r="B125" s="77"/>
      <c r="C125" s="77"/>
      <c r="D125" s="77"/>
      <c r="E125" s="79"/>
      <c r="F125" s="80"/>
      <c r="G125" s="77"/>
      <c r="H125" s="38"/>
      <c r="I125" s="81"/>
      <c r="J125" s="77"/>
      <c r="K125" s="77"/>
      <c r="L125" s="77"/>
      <c r="M125" s="33"/>
      <c r="N125" s="82"/>
      <c r="O125" s="12"/>
      <c r="P125" s="33"/>
      <c r="Q125" s="26"/>
    </row>
    <row r="126" spans="1:17" x14ac:dyDescent="0.2">
      <c r="A126" s="12"/>
      <c r="B126" s="77"/>
      <c r="C126" s="77"/>
      <c r="D126" s="77"/>
      <c r="E126" s="79"/>
      <c r="F126" s="80"/>
      <c r="G126" s="77"/>
      <c r="H126" s="38"/>
      <c r="I126" s="81"/>
      <c r="J126" s="77"/>
      <c r="K126" s="77"/>
      <c r="L126" s="77"/>
      <c r="M126" s="33"/>
      <c r="N126" s="82"/>
      <c r="O126" s="12"/>
      <c r="P126" s="33"/>
      <c r="Q126" s="26"/>
    </row>
    <row r="127" spans="1:17" x14ac:dyDescent="0.2">
      <c r="A127" s="12"/>
      <c r="B127" s="77"/>
      <c r="C127" s="77"/>
      <c r="D127" s="77"/>
      <c r="E127" s="79"/>
      <c r="F127" s="80"/>
      <c r="G127" s="77"/>
      <c r="H127" s="38"/>
      <c r="I127" s="81"/>
      <c r="J127" s="77"/>
      <c r="K127" s="77"/>
      <c r="L127" s="77"/>
      <c r="M127" s="33"/>
      <c r="N127" s="82"/>
      <c r="O127" s="12"/>
      <c r="P127" s="33"/>
      <c r="Q127" s="26"/>
    </row>
    <row r="128" spans="1:17" x14ac:dyDescent="0.2">
      <c r="A128" s="12"/>
      <c r="B128" s="77"/>
      <c r="C128" s="77"/>
      <c r="D128" s="77"/>
      <c r="E128" s="79"/>
      <c r="F128" s="80"/>
      <c r="G128" s="77"/>
      <c r="H128" s="38"/>
      <c r="I128" s="81"/>
      <c r="J128" s="77"/>
      <c r="K128" s="77"/>
      <c r="L128" s="77"/>
      <c r="M128" s="33"/>
      <c r="N128" s="82"/>
      <c r="O128" s="12"/>
      <c r="P128" s="33"/>
      <c r="Q128" s="26"/>
    </row>
    <row r="129" spans="1:17" x14ac:dyDescent="0.2">
      <c r="A129" s="12"/>
      <c r="B129" s="77"/>
      <c r="C129" s="77"/>
      <c r="D129" s="77"/>
      <c r="E129" s="79"/>
      <c r="F129" s="80"/>
      <c r="G129" s="77"/>
      <c r="H129" s="38"/>
      <c r="I129" s="81"/>
      <c r="J129" s="77"/>
      <c r="K129" s="77"/>
      <c r="L129" s="77"/>
      <c r="M129" s="33"/>
      <c r="N129" s="82"/>
      <c r="O129" s="12"/>
      <c r="P129" s="33"/>
      <c r="Q129" s="26"/>
    </row>
    <row r="130" spans="1:17" x14ac:dyDescent="0.2">
      <c r="A130" s="12"/>
      <c r="B130" s="77"/>
      <c r="C130" s="77"/>
      <c r="D130" s="77"/>
      <c r="E130" s="79"/>
      <c r="F130" s="80"/>
      <c r="G130" s="77"/>
      <c r="H130" s="38"/>
      <c r="I130" s="81"/>
      <c r="J130" s="77"/>
      <c r="K130" s="77"/>
      <c r="L130" s="77"/>
      <c r="M130" s="33"/>
      <c r="N130" s="82"/>
      <c r="O130" s="12"/>
      <c r="P130" s="33"/>
      <c r="Q130" s="26"/>
    </row>
    <row r="131" spans="1:17" x14ac:dyDescent="0.2">
      <c r="A131" s="12"/>
      <c r="B131" s="77"/>
      <c r="C131" s="77"/>
      <c r="D131" s="77"/>
      <c r="E131" s="79"/>
      <c r="F131" s="80"/>
      <c r="G131" s="77"/>
      <c r="H131" s="38"/>
      <c r="I131" s="81"/>
      <c r="J131" s="77"/>
      <c r="K131" s="77"/>
      <c r="L131" s="77"/>
      <c r="M131" s="33"/>
      <c r="N131" s="82"/>
      <c r="O131" s="12"/>
      <c r="P131" s="33"/>
      <c r="Q131" s="26"/>
    </row>
    <row r="132" spans="1:17" x14ac:dyDescent="0.2">
      <c r="A132" s="12"/>
      <c r="B132" s="77"/>
      <c r="C132" s="77"/>
      <c r="D132" s="77"/>
      <c r="E132" s="79"/>
      <c r="F132" s="80"/>
      <c r="G132" s="77"/>
      <c r="H132" s="38"/>
      <c r="I132" s="81"/>
      <c r="J132" s="77"/>
      <c r="K132" s="77"/>
      <c r="L132" s="77"/>
      <c r="M132" s="33"/>
      <c r="N132" s="82"/>
      <c r="O132" s="12"/>
      <c r="P132" s="33"/>
      <c r="Q132" s="26"/>
    </row>
    <row r="133" spans="1:17" x14ac:dyDescent="0.2">
      <c r="A133" s="12"/>
      <c r="B133" s="77"/>
      <c r="C133" s="77"/>
      <c r="D133" s="77"/>
      <c r="E133" s="79"/>
      <c r="F133" s="80"/>
      <c r="G133" s="77"/>
      <c r="H133" s="38"/>
      <c r="I133" s="81"/>
      <c r="J133" s="77"/>
      <c r="K133" s="77"/>
      <c r="L133" s="77"/>
      <c r="M133" s="33"/>
      <c r="N133" s="82"/>
      <c r="O133" s="12"/>
      <c r="P133" s="33"/>
      <c r="Q133" s="26"/>
    </row>
    <row r="134" spans="1:17" x14ac:dyDescent="0.2">
      <c r="A134" s="12"/>
      <c r="B134" s="77"/>
      <c r="C134" s="77"/>
      <c r="D134" s="77"/>
      <c r="E134" s="79"/>
      <c r="F134" s="80"/>
      <c r="G134" s="77"/>
      <c r="H134" s="38"/>
      <c r="I134" s="81"/>
      <c r="J134" s="77"/>
      <c r="K134" s="77"/>
      <c r="L134" s="77"/>
      <c r="M134" s="33"/>
      <c r="N134" s="82"/>
      <c r="O134" s="12"/>
      <c r="P134" s="33"/>
      <c r="Q134" s="26"/>
    </row>
    <row r="135" spans="1:17" x14ac:dyDescent="0.2">
      <c r="A135" s="12"/>
      <c r="B135" s="77"/>
      <c r="C135" s="77"/>
      <c r="D135" s="77"/>
      <c r="E135" s="79"/>
      <c r="F135" s="80"/>
      <c r="G135" s="77"/>
      <c r="H135" s="38"/>
      <c r="I135" s="81"/>
      <c r="J135" s="77"/>
      <c r="K135" s="77"/>
      <c r="L135" s="77"/>
      <c r="M135" s="33"/>
      <c r="N135" s="82"/>
      <c r="O135" s="12"/>
      <c r="P135" s="33"/>
      <c r="Q135" s="26"/>
    </row>
    <row r="136" spans="1:17" x14ac:dyDescent="0.2">
      <c r="A136" s="12"/>
      <c r="B136" s="77"/>
      <c r="C136" s="77"/>
      <c r="D136" s="77"/>
      <c r="E136" s="79"/>
      <c r="F136" s="80"/>
      <c r="G136" s="77"/>
      <c r="H136" s="38"/>
      <c r="I136" s="81"/>
      <c r="J136" s="77"/>
      <c r="K136" s="77"/>
      <c r="L136" s="77"/>
      <c r="M136" s="33"/>
      <c r="N136" s="82"/>
      <c r="O136" s="12"/>
      <c r="P136" s="33"/>
      <c r="Q136" s="26"/>
    </row>
    <row r="137" spans="1:17" x14ac:dyDescent="0.2">
      <c r="A137" s="12"/>
      <c r="B137" s="77"/>
      <c r="C137" s="77"/>
      <c r="D137" s="77"/>
      <c r="E137" s="79"/>
      <c r="F137" s="80"/>
      <c r="G137" s="77"/>
      <c r="H137" s="38"/>
      <c r="I137" s="81"/>
      <c r="J137" s="77"/>
      <c r="K137" s="77"/>
      <c r="L137" s="77"/>
      <c r="M137" s="33"/>
      <c r="N137" s="82"/>
      <c r="O137" s="12"/>
      <c r="P137" s="33"/>
      <c r="Q137" s="26"/>
    </row>
    <row r="138" spans="1:17" x14ac:dyDescent="0.2">
      <c r="A138" s="12"/>
      <c r="B138" s="77"/>
      <c r="C138" s="77"/>
      <c r="D138" s="77"/>
      <c r="E138" s="79"/>
      <c r="F138" s="80"/>
      <c r="G138" s="77"/>
      <c r="H138" s="38"/>
      <c r="I138" s="81"/>
      <c r="J138" s="77"/>
      <c r="K138" s="77"/>
      <c r="L138" s="77"/>
      <c r="M138" s="33"/>
      <c r="N138" s="82"/>
      <c r="O138" s="12"/>
      <c r="P138" s="33"/>
      <c r="Q138" s="26"/>
    </row>
    <row r="139" spans="1:17" x14ac:dyDescent="0.2">
      <c r="A139" s="12"/>
      <c r="B139" s="77"/>
      <c r="C139" s="77"/>
      <c r="D139" s="77"/>
      <c r="E139" s="79"/>
      <c r="F139" s="80"/>
      <c r="G139" s="77"/>
      <c r="H139" s="38"/>
      <c r="I139" s="81"/>
      <c r="J139" s="77"/>
      <c r="K139" s="77"/>
      <c r="L139" s="77"/>
      <c r="M139" s="33"/>
      <c r="N139" s="82"/>
      <c r="O139" s="12"/>
      <c r="P139" s="33"/>
      <c r="Q139" s="26"/>
    </row>
    <row r="140" spans="1:17" x14ac:dyDescent="0.2">
      <c r="A140" s="12"/>
      <c r="B140" s="77"/>
      <c r="C140" s="77"/>
      <c r="D140" s="77"/>
      <c r="E140" s="79"/>
      <c r="F140" s="80"/>
      <c r="G140" s="77"/>
      <c r="H140" s="38"/>
      <c r="I140" s="81"/>
      <c r="J140" s="77"/>
      <c r="K140" s="77"/>
      <c r="L140" s="77"/>
      <c r="M140" s="33"/>
      <c r="N140" s="82"/>
      <c r="O140" s="12"/>
      <c r="P140" s="33"/>
      <c r="Q140" s="26"/>
    </row>
    <row r="141" spans="1:17" x14ac:dyDescent="0.2">
      <c r="A141" s="12"/>
      <c r="B141" s="77"/>
      <c r="C141" s="77"/>
      <c r="D141" s="77"/>
      <c r="E141" s="79"/>
      <c r="F141" s="80"/>
      <c r="G141" s="77"/>
      <c r="H141" s="38"/>
      <c r="I141" s="81"/>
      <c r="J141" s="77"/>
      <c r="K141" s="77"/>
      <c r="L141" s="77"/>
      <c r="M141" s="33"/>
      <c r="N141" s="82"/>
      <c r="O141" s="12"/>
      <c r="P141" s="33"/>
      <c r="Q141" s="26"/>
    </row>
    <row r="142" spans="1:17" x14ac:dyDescent="0.2">
      <c r="A142" s="12"/>
      <c r="B142" s="77"/>
      <c r="C142" s="77"/>
      <c r="D142" s="77"/>
      <c r="E142" s="79"/>
      <c r="F142" s="80"/>
      <c r="G142" s="77"/>
      <c r="H142" s="38"/>
      <c r="I142" s="81"/>
      <c r="J142" s="77"/>
      <c r="K142" s="77"/>
      <c r="L142" s="77"/>
      <c r="M142" s="33"/>
      <c r="N142" s="82"/>
      <c r="O142" s="12"/>
      <c r="P142" s="33"/>
      <c r="Q142" s="26"/>
    </row>
    <row r="143" spans="1:17" x14ac:dyDescent="0.2">
      <c r="A143" s="12"/>
      <c r="B143" s="77"/>
      <c r="C143" s="77"/>
      <c r="D143" s="77"/>
      <c r="E143" s="79"/>
      <c r="F143" s="80"/>
      <c r="G143" s="77"/>
      <c r="H143" s="38"/>
      <c r="I143" s="81"/>
      <c r="J143" s="77"/>
      <c r="K143" s="77"/>
      <c r="L143" s="77"/>
      <c r="M143" s="33"/>
      <c r="N143" s="82"/>
      <c r="O143" s="12"/>
      <c r="P143" s="33"/>
      <c r="Q143" s="26"/>
    </row>
    <row r="144" spans="1:17" x14ac:dyDescent="0.2">
      <c r="A144" s="12"/>
      <c r="B144" s="77"/>
      <c r="C144" s="77"/>
      <c r="D144" s="77"/>
      <c r="E144" s="79"/>
      <c r="F144" s="80"/>
      <c r="G144" s="77"/>
      <c r="H144" s="38"/>
      <c r="I144" s="81"/>
      <c r="J144" s="77"/>
      <c r="K144" s="77"/>
      <c r="L144" s="77"/>
      <c r="M144" s="33"/>
      <c r="N144" s="82"/>
      <c r="O144" s="12"/>
      <c r="P144" s="33"/>
      <c r="Q144" s="26"/>
    </row>
    <row r="145" spans="1:17" x14ac:dyDescent="0.2">
      <c r="A145" s="12"/>
      <c r="B145" s="77"/>
      <c r="C145" s="77"/>
      <c r="D145" s="77"/>
      <c r="E145" s="79"/>
      <c r="F145" s="80"/>
      <c r="G145" s="77"/>
      <c r="H145" s="38"/>
      <c r="I145" s="81"/>
      <c r="J145" s="77"/>
      <c r="K145" s="77"/>
      <c r="L145" s="77"/>
      <c r="M145" s="33"/>
      <c r="N145" s="82"/>
      <c r="O145" s="12"/>
      <c r="P145" s="33"/>
      <c r="Q145" s="26"/>
    </row>
    <row r="146" spans="1:17" x14ac:dyDescent="0.2">
      <c r="A146" s="12"/>
      <c r="B146" s="77"/>
      <c r="C146" s="77"/>
      <c r="D146" s="77"/>
      <c r="E146" s="79"/>
      <c r="F146" s="80"/>
      <c r="G146" s="77"/>
      <c r="H146" s="38"/>
      <c r="I146" s="81"/>
      <c r="J146" s="77"/>
      <c r="K146" s="77"/>
      <c r="L146" s="77"/>
      <c r="M146" s="33"/>
      <c r="N146" s="82"/>
      <c r="O146" s="12"/>
      <c r="P146" s="33"/>
      <c r="Q146" s="26"/>
    </row>
    <row r="147" spans="1:17" x14ac:dyDescent="0.2">
      <c r="A147" s="12"/>
      <c r="B147" s="77"/>
      <c r="C147" s="77"/>
      <c r="D147" s="77"/>
      <c r="E147" s="79"/>
      <c r="F147" s="80"/>
      <c r="G147" s="77"/>
      <c r="H147" s="38"/>
      <c r="I147" s="81"/>
      <c r="J147" s="77"/>
      <c r="K147" s="77"/>
      <c r="L147" s="77"/>
      <c r="M147" s="33"/>
      <c r="N147" s="82"/>
      <c r="O147" s="12"/>
      <c r="P147" s="33"/>
      <c r="Q147" s="26"/>
    </row>
    <row r="148" spans="1:17" x14ac:dyDescent="0.2">
      <c r="A148" s="12"/>
      <c r="B148" s="77"/>
      <c r="C148" s="77"/>
      <c r="D148" s="77"/>
      <c r="E148" s="79"/>
      <c r="F148" s="80"/>
      <c r="G148" s="77"/>
      <c r="H148" s="38"/>
      <c r="I148" s="81"/>
      <c r="J148" s="77"/>
      <c r="K148" s="77"/>
      <c r="L148" s="77"/>
      <c r="M148" s="33"/>
      <c r="N148" s="82"/>
      <c r="O148" s="12"/>
      <c r="P148" s="33"/>
      <c r="Q148" s="26"/>
    </row>
    <row r="149" spans="1:17" x14ac:dyDescent="0.2">
      <c r="A149" s="12"/>
      <c r="B149" s="77"/>
      <c r="C149" s="77"/>
      <c r="D149" s="77"/>
      <c r="E149" s="79"/>
      <c r="F149" s="80"/>
      <c r="G149" s="77"/>
      <c r="H149" s="38"/>
      <c r="I149" s="81"/>
      <c r="J149" s="77"/>
      <c r="K149" s="77"/>
      <c r="L149" s="77"/>
      <c r="M149" s="33"/>
      <c r="N149" s="82"/>
      <c r="O149" s="12"/>
      <c r="P149" s="33"/>
      <c r="Q149" s="26"/>
    </row>
    <row r="150" spans="1:17" x14ac:dyDescent="0.2">
      <c r="A150" s="12"/>
      <c r="B150" s="77"/>
      <c r="C150" s="77"/>
      <c r="D150" s="77"/>
      <c r="E150" s="79"/>
      <c r="F150" s="80"/>
      <c r="G150" s="77"/>
      <c r="H150" s="38"/>
      <c r="I150" s="83"/>
      <c r="J150" s="77"/>
      <c r="K150" s="77"/>
      <c r="L150" s="77"/>
      <c r="M150" s="33"/>
      <c r="N150" s="82"/>
      <c r="O150" s="12"/>
      <c r="P150" s="33"/>
      <c r="Q150" s="26"/>
    </row>
    <row r="151" spans="1:17" x14ac:dyDescent="0.2">
      <c r="A151" s="12"/>
      <c r="B151" s="77"/>
      <c r="C151" s="77"/>
      <c r="D151" s="77"/>
      <c r="E151" s="79"/>
      <c r="F151" s="80"/>
      <c r="G151" s="77"/>
      <c r="H151" s="38"/>
      <c r="I151" s="81"/>
      <c r="J151" s="77"/>
      <c r="K151" s="77"/>
      <c r="L151" s="77"/>
      <c r="M151" s="33"/>
      <c r="N151" s="82"/>
      <c r="O151" s="12"/>
      <c r="P151" s="33"/>
      <c r="Q151" s="26"/>
    </row>
    <row r="152" spans="1:17" x14ac:dyDescent="0.2">
      <c r="A152" s="12"/>
      <c r="B152" s="77"/>
      <c r="C152" s="77"/>
      <c r="D152" s="77"/>
      <c r="E152" s="79"/>
      <c r="F152" s="80"/>
      <c r="G152" s="77"/>
      <c r="H152" s="38"/>
      <c r="I152" s="81"/>
      <c r="J152" s="77"/>
      <c r="K152" s="77"/>
      <c r="L152" s="77"/>
      <c r="M152" s="33"/>
      <c r="N152" s="82"/>
      <c r="O152" s="12"/>
      <c r="P152" s="33"/>
      <c r="Q152" s="26"/>
    </row>
    <row r="153" spans="1:17" x14ac:dyDescent="0.2">
      <c r="A153" s="12"/>
      <c r="B153" s="77"/>
      <c r="C153" s="77"/>
      <c r="D153" s="77"/>
      <c r="E153" s="79"/>
      <c r="F153" s="80"/>
      <c r="G153" s="77"/>
      <c r="H153" s="38"/>
      <c r="I153" s="81"/>
      <c r="J153" s="77"/>
      <c r="K153" s="77"/>
      <c r="L153" s="77"/>
      <c r="M153" s="33"/>
      <c r="N153" s="82"/>
      <c r="O153" s="12"/>
      <c r="P153" s="33"/>
      <c r="Q153" s="26"/>
    </row>
    <row r="154" spans="1:17" x14ac:dyDescent="0.2">
      <c r="A154" s="12"/>
      <c r="B154" s="77"/>
      <c r="C154" s="77"/>
      <c r="D154" s="77"/>
      <c r="E154" s="79"/>
      <c r="F154" s="80"/>
      <c r="G154" s="77"/>
      <c r="H154" s="38"/>
      <c r="I154" s="81"/>
      <c r="J154" s="77"/>
      <c r="K154" s="77"/>
      <c r="L154" s="77"/>
      <c r="M154" s="33"/>
      <c r="N154" s="82"/>
      <c r="O154" s="12"/>
      <c r="P154" s="33"/>
      <c r="Q154" s="26"/>
    </row>
    <row r="155" spans="1:17" x14ac:dyDescent="0.2">
      <c r="A155" s="12"/>
      <c r="B155" s="77"/>
      <c r="C155" s="77"/>
      <c r="D155" s="77"/>
      <c r="E155" s="79"/>
      <c r="F155" s="80"/>
      <c r="G155" s="77"/>
      <c r="H155" s="38"/>
      <c r="I155" s="81"/>
      <c r="J155" s="77"/>
      <c r="K155" s="77"/>
      <c r="L155" s="77"/>
      <c r="M155" s="33"/>
      <c r="N155" s="82"/>
      <c r="O155" s="12"/>
      <c r="P155" s="33"/>
      <c r="Q155" s="26"/>
    </row>
    <row r="156" spans="1:17" x14ac:dyDescent="0.2">
      <c r="A156" s="12"/>
      <c r="B156" s="77"/>
      <c r="C156" s="77"/>
      <c r="D156" s="77"/>
      <c r="E156" s="79"/>
      <c r="F156" s="80"/>
      <c r="G156" s="77"/>
      <c r="H156" s="38"/>
      <c r="I156" s="81"/>
      <c r="J156" s="77"/>
      <c r="K156" s="77"/>
      <c r="L156" s="77"/>
      <c r="M156" s="33"/>
      <c r="N156" s="82"/>
      <c r="O156" s="12"/>
      <c r="P156" s="33"/>
      <c r="Q156" s="26"/>
    </row>
    <row r="157" spans="1:17" x14ac:dyDescent="0.2">
      <c r="A157" s="12"/>
      <c r="B157" s="77"/>
      <c r="C157" s="77"/>
      <c r="D157" s="77"/>
      <c r="E157" s="79"/>
      <c r="F157" s="80"/>
      <c r="G157" s="77"/>
      <c r="H157" s="38"/>
      <c r="I157" s="81"/>
      <c r="J157" s="77"/>
      <c r="K157" s="77"/>
      <c r="L157" s="77"/>
      <c r="M157" s="33"/>
      <c r="N157" s="82"/>
      <c r="O157" s="12"/>
      <c r="P157" s="33"/>
      <c r="Q157" s="26"/>
    </row>
    <row r="158" spans="1:17" x14ac:dyDescent="0.2">
      <c r="A158" s="26"/>
      <c r="B158" s="26"/>
      <c r="C158" s="77"/>
      <c r="D158" s="77"/>
      <c r="E158" s="79"/>
      <c r="F158" s="26"/>
      <c r="G158" s="26"/>
      <c r="H158" s="26"/>
      <c r="I158" s="102"/>
      <c r="J158" s="77"/>
      <c r="K158" s="26"/>
      <c r="L158" s="26"/>
      <c r="M158" s="33"/>
      <c r="N158" s="26"/>
      <c r="O158" s="26"/>
      <c r="P158" s="26"/>
      <c r="Q158" s="26"/>
    </row>
    <row r="159" spans="1:17" x14ac:dyDescent="0.2">
      <c r="A159" s="26"/>
      <c r="B159" s="26"/>
      <c r="C159" s="77"/>
      <c r="D159" s="77"/>
      <c r="E159" s="79"/>
      <c r="F159" s="26"/>
      <c r="G159" s="26"/>
      <c r="H159" s="26"/>
      <c r="I159" s="26"/>
      <c r="J159" s="77"/>
      <c r="K159" s="26"/>
      <c r="L159" s="26"/>
      <c r="M159" s="33"/>
      <c r="N159" s="26"/>
      <c r="O159" s="26"/>
      <c r="P159" s="26"/>
      <c r="Q159" s="26"/>
    </row>
    <row r="160" spans="1:17" x14ac:dyDescent="0.2">
      <c r="A160" s="26"/>
      <c r="B160" s="26"/>
      <c r="C160" s="77"/>
      <c r="D160" s="77"/>
      <c r="E160" s="79"/>
      <c r="F160" s="26"/>
      <c r="G160" s="26"/>
      <c r="H160" s="26"/>
      <c r="I160" s="26"/>
      <c r="J160" s="77"/>
      <c r="K160" s="26"/>
      <c r="L160" s="26"/>
      <c r="M160" s="33"/>
      <c r="N160" s="26"/>
      <c r="O160" s="26"/>
      <c r="P160" s="26"/>
      <c r="Q160" s="26"/>
    </row>
    <row r="161" spans="1:17" x14ac:dyDescent="0.2">
      <c r="A161" s="26"/>
      <c r="B161" s="26"/>
      <c r="C161" s="77"/>
      <c r="D161" s="77"/>
      <c r="E161" s="79"/>
      <c r="F161" s="26"/>
      <c r="G161" s="26"/>
      <c r="H161" s="26"/>
      <c r="I161" s="26"/>
      <c r="J161" s="77"/>
      <c r="K161" s="26"/>
      <c r="L161" s="26"/>
      <c r="M161" s="33"/>
      <c r="N161" s="26"/>
      <c r="O161" s="26"/>
      <c r="P161" s="26"/>
      <c r="Q161" s="26"/>
    </row>
    <row r="162" spans="1:17" x14ac:dyDescent="0.2">
      <c r="A162" s="26"/>
      <c r="B162" s="26"/>
      <c r="C162" s="77"/>
      <c r="D162" s="77"/>
      <c r="E162" s="79"/>
      <c r="F162" s="26"/>
      <c r="G162" s="26"/>
      <c r="H162" s="26"/>
      <c r="I162" s="26"/>
      <c r="J162" s="77"/>
      <c r="K162" s="26"/>
      <c r="L162" s="26"/>
      <c r="M162" s="33"/>
      <c r="N162" s="26"/>
      <c r="O162" s="26"/>
      <c r="P162" s="26"/>
      <c r="Q162" s="26"/>
    </row>
    <row r="163" spans="1:17" x14ac:dyDescent="0.2">
      <c r="A163" s="26"/>
      <c r="B163" s="26"/>
      <c r="C163" s="77"/>
      <c r="D163" s="77"/>
      <c r="E163" s="79"/>
      <c r="F163" s="26"/>
      <c r="G163" s="26"/>
      <c r="H163" s="26"/>
      <c r="I163" s="96"/>
      <c r="J163" s="77"/>
      <c r="K163" s="26"/>
      <c r="L163" s="26"/>
      <c r="M163" s="33"/>
      <c r="N163" s="26"/>
      <c r="O163" s="26"/>
      <c r="P163" s="26"/>
      <c r="Q163" s="26"/>
    </row>
    <row r="164" spans="1:17" x14ac:dyDescent="0.2">
      <c r="A164" s="26"/>
      <c r="B164" s="26"/>
      <c r="C164" s="77"/>
      <c r="D164" s="77"/>
      <c r="E164" s="79"/>
      <c r="F164" s="26"/>
      <c r="G164" s="26"/>
      <c r="H164" s="26"/>
      <c r="I164" s="96"/>
      <c r="J164" s="77"/>
      <c r="K164" s="26"/>
      <c r="L164" s="26"/>
      <c r="M164" s="33"/>
      <c r="N164" s="26"/>
      <c r="O164" s="26"/>
      <c r="P164" s="26"/>
      <c r="Q164" s="26"/>
    </row>
    <row r="165" spans="1:17" x14ac:dyDescent="0.2">
      <c r="A165" s="26"/>
      <c r="B165" s="26"/>
      <c r="C165" s="77"/>
      <c r="D165" s="77"/>
      <c r="E165" s="79"/>
      <c r="F165" s="26"/>
      <c r="G165" s="26"/>
      <c r="H165" s="26"/>
      <c r="I165" s="96"/>
      <c r="J165" s="77"/>
      <c r="K165" s="26"/>
      <c r="L165" s="26"/>
      <c r="M165" s="33"/>
      <c r="N165" s="26"/>
      <c r="O165" s="26"/>
      <c r="P165" s="26"/>
      <c r="Q165" s="26"/>
    </row>
    <row r="166" spans="1:17" x14ac:dyDescent="0.2">
      <c r="A166" s="26"/>
      <c r="B166" s="26"/>
      <c r="C166" s="77"/>
      <c r="D166" s="77"/>
      <c r="E166" s="79"/>
      <c r="F166" s="26"/>
      <c r="G166" s="26"/>
      <c r="H166" s="26"/>
      <c r="I166" s="96"/>
      <c r="J166" s="77"/>
      <c r="K166" s="26"/>
      <c r="L166" s="26"/>
      <c r="M166" s="33"/>
      <c r="N166" s="26"/>
      <c r="O166" s="26"/>
      <c r="P166" s="26"/>
      <c r="Q166" s="26"/>
    </row>
    <row r="167" spans="1:17" x14ac:dyDescent="0.2">
      <c r="A167" s="26"/>
      <c r="B167" s="26"/>
      <c r="C167" s="77"/>
      <c r="D167" s="77"/>
      <c r="E167" s="79"/>
      <c r="F167" s="26"/>
      <c r="G167" s="26"/>
      <c r="H167" s="26"/>
      <c r="I167" s="26"/>
      <c r="J167" s="77"/>
      <c r="K167" s="26"/>
      <c r="L167" s="26"/>
      <c r="M167" s="33"/>
      <c r="N167" s="26"/>
      <c r="O167" s="26"/>
      <c r="P167" s="26"/>
      <c r="Q167" s="26"/>
    </row>
    <row r="168" spans="1:17" x14ac:dyDescent="0.2">
      <c r="A168" s="26"/>
      <c r="B168" s="26"/>
      <c r="C168" s="77"/>
      <c r="D168" s="77"/>
      <c r="E168" s="79"/>
      <c r="F168" s="26"/>
      <c r="G168" s="26"/>
      <c r="H168" s="26"/>
      <c r="I168" s="102"/>
      <c r="J168" s="77"/>
      <c r="K168" s="26"/>
      <c r="L168" s="26"/>
      <c r="M168" s="33"/>
      <c r="N168" s="100"/>
      <c r="O168" s="100"/>
      <c r="P168" s="26"/>
      <c r="Q168" s="96"/>
    </row>
    <row r="169" spans="1:17" x14ac:dyDescent="0.2">
      <c r="A169" s="26"/>
      <c r="B169" s="26"/>
      <c r="C169" s="77"/>
      <c r="D169" s="77"/>
      <c r="E169" s="79"/>
      <c r="F169" s="26"/>
      <c r="G169" s="26"/>
      <c r="H169" s="26"/>
      <c r="I169" s="96"/>
      <c r="J169" s="77"/>
      <c r="K169" s="26"/>
      <c r="L169" s="26"/>
      <c r="M169" s="33"/>
      <c r="N169" s="26"/>
      <c r="O169" s="26"/>
      <c r="P169" s="26"/>
      <c r="Q169" s="26"/>
    </row>
    <row r="170" spans="1:17" x14ac:dyDescent="0.2">
      <c r="A170" s="26"/>
      <c r="B170" s="26"/>
      <c r="C170" s="77"/>
      <c r="D170" s="77"/>
      <c r="E170" s="79"/>
      <c r="F170" s="26"/>
      <c r="G170" s="26"/>
      <c r="H170" s="26"/>
      <c r="I170" s="96"/>
      <c r="J170" s="77"/>
      <c r="K170" s="26"/>
      <c r="L170" s="26"/>
      <c r="M170" s="33"/>
      <c r="N170" s="26"/>
      <c r="O170" s="26"/>
      <c r="P170" s="26"/>
      <c r="Q170" s="26"/>
    </row>
    <row r="171" spans="1:17" x14ac:dyDescent="0.2">
      <c r="A171" s="26"/>
      <c r="B171" s="26"/>
      <c r="C171" s="77"/>
      <c r="D171" s="77"/>
      <c r="E171" s="79"/>
      <c r="F171" s="26"/>
      <c r="G171" s="26"/>
      <c r="H171" s="26"/>
      <c r="I171" s="96"/>
      <c r="J171" s="77"/>
      <c r="K171" s="26"/>
      <c r="L171" s="26"/>
      <c r="M171" s="33"/>
      <c r="N171" s="26"/>
      <c r="O171" s="26"/>
      <c r="P171" s="26"/>
      <c r="Q171" s="26"/>
    </row>
    <row r="172" spans="1:17" x14ac:dyDescent="0.2">
      <c r="A172" s="26"/>
      <c r="B172" s="26"/>
      <c r="C172" s="77"/>
      <c r="D172" s="77"/>
      <c r="E172" s="79"/>
      <c r="F172" s="26"/>
      <c r="G172" s="26"/>
      <c r="H172" s="26"/>
      <c r="I172" s="96"/>
      <c r="J172" s="77"/>
      <c r="K172" s="26"/>
      <c r="L172" s="26"/>
      <c r="M172" s="33"/>
      <c r="N172" s="26"/>
      <c r="O172" s="26"/>
      <c r="P172" s="26"/>
      <c r="Q172" s="26"/>
    </row>
    <row r="173" spans="1:17" x14ac:dyDescent="0.2">
      <c r="A173" s="26"/>
      <c r="B173" s="26"/>
      <c r="C173" s="77"/>
      <c r="D173" s="77"/>
      <c r="E173" s="79"/>
      <c r="F173" s="26"/>
      <c r="G173" s="26"/>
      <c r="H173" s="26"/>
      <c r="I173" s="26"/>
      <c r="J173" s="77"/>
      <c r="K173" s="26"/>
      <c r="L173" s="26"/>
      <c r="M173" s="33"/>
      <c r="N173" s="26"/>
      <c r="O173" s="26"/>
      <c r="P173" s="26"/>
      <c r="Q173" s="26"/>
    </row>
    <row r="174" spans="1:17" x14ac:dyDescent="0.2">
      <c r="A174" s="26"/>
      <c r="B174" s="26"/>
      <c r="C174" s="77"/>
      <c r="D174" s="77"/>
      <c r="E174" s="79"/>
      <c r="F174" s="26"/>
      <c r="G174" s="26"/>
      <c r="H174" s="26"/>
      <c r="I174" s="26"/>
      <c r="J174" s="77"/>
      <c r="K174" s="26"/>
      <c r="L174" s="26"/>
      <c r="M174" s="33"/>
      <c r="N174" s="26"/>
      <c r="O174" s="26"/>
      <c r="P174" s="26"/>
      <c r="Q174" s="26"/>
    </row>
    <row r="175" spans="1:17" x14ac:dyDescent="0.2">
      <c r="A175" s="26"/>
      <c r="B175" s="26"/>
      <c r="C175" s="77"/>
      <c r="D175" s="77"/>
      <c r="E175" s="79"/>
      <c r="F175" s="26"/>
      <c r="G175" s="26"/>
      <c r="H175" s="26"/>
      <c r="I175" s="26"/>
      <c r="J175" s="77"/>
      <c r="K175" s="26"/>
      <c r="L175" s="26"/>
      <c r="M175" s="33"/>
      <c r="N175" s="26"/>
      <c r="O175" s="26"/>
      <c r="P175" s="26"/>
      <c r="Q175" s="26"/>
    </row>
    <row r="176" spans="1:17" x14ac:dyDescent="0.2">
      <c r="A176" s="26"/>
      <c r="B176" s="26"/>
      <c r="C176" s="77"/>
      <c r="D176" s="77"/>
      <c r="E176" s="79"/>
      <c r="F176" s="26"/>
      <c r="G176" s="26"/>
      <c r="H176" s="26"/>
      <c r="I176" s="26"/>
      <c r="J176" s="77"/>
      <c r="K176" s="26"/>
      <c r="L176" s="26"/>
      <c r="M176" s="33"/>
      <c r="N176" s="26"/>
      <c r="O176" s="26"/>
      <c r="P176" s="26"/>
      <c r="Q176" s="26"/>
    </row>
    <row r="177" spans="1:17" x14ac:dyDescent="0.2">
      <c r="A177" s="26"/>
      <c r="B177" s="26"/>
      <c r="C177" s="77"/>
      <c r="D177" s="77"/>
      <c r="E177" s="79"/>
      <c r="F177" s="26"/>
      <c r="G177" s="26"/>
      <c r="H177" s="26"/>
      <c r="I177" s="96"/>
      <c r="J177" s="77"/>
      <c r="K177" s="26"/>
      <c r="L177" s="26"/>
      <c r="M177" s="33"/>
      <c r="N177" s="26"/>
      <c r="O177" s="26"/>
      <c r="P177" s="26"/>
      <c r="Q177" s="26"/>
    </row>
    <row r="178" spans="1:17" x14ac:dyDescent="0.2">
      <c r="A178" s="26"/>
      <c r="B178" s="26"/>
      <c r="C178" s="77"/>
      <c r="D178" s="77"/>
      <c r="E178" s="79"/>
      <c r="F178" s="26"/>
      <c r="G178" s="26"/>
      <c r="H178" s="26"/>
      <c r="I178" s="96"/>
      <c r="J178" s="77"/>
      <c r="K178" s="26"/>
      <c r="L178" s="26"/>
      <c r="M178" s="33"/>
      <c r="N178" s="26"/>
      <c r="O178" s="26"/>
      <c r="P178" s="26"/>
      <c r="Q178" s="26"/>
    </row>
    <row r="179" spans="1:17" x14ac:dyDescent="0.2">
      <c r="A179" s="26"/>
      <c r="B179" s="26"/>
      <c r="C179" s="77"/>
      <c r="D179" s="77"/>
      <c r="E179" s="79"/>
      <c r="F179" s="26"/>
      <c r="G179" s="26"/>
      <c r="H179" s="26"/>
      <c r="I179" s="26"/>
      <c r="J179" s="77"/>
      <c r="K179" s="26"/>
      <c r="L179" s="26"/>
      <c r="M179" s="33"/>
      <c r="N179" s="26"/>
      <c r="O179" s="26"/>
      <c r="P179" s="26"/>
      <c r="Q179" s="26"/>
    </row>
    <row r="180" spans="1:17" x14ac:dyDescent="0.2">
      <c r="A180" s="26"/>
      <c r="B180" s="26"/>
      <c r="C180" s="77"/>
      <c r="D180" s="77"/>
      <c r="E180" s="79"/>
      <c r="F180" s="26"/>
      <c r="G180" s="26"/>
      <c r="H180" s="26"/>
      <c r="I180" s="26"/>
      <c r="J180" s="77"/>
      <c r="K180" s="26"/>
      <c r="L180" s="26"/>
      <c r="M180" s="33"/>
      <c r="N180" s="26"/>
      <c r="O180" s="26"/>
      <c r="P180" s="26"/>
      <c r="Q180" s="26"/>
    </row>
    <row r="181" spans="1:17" x14ac:dyDescent="0.2">
      <c r="A181" s="26"/>
      <c r="B181" s="26"/>
      <c r="C181" s="77"/>
      <c r="D181" s="77"/>
      <c r="E181" s="79"/>
      <c r="F181" s="26"/>
      <c r="G181" s="26"/>
      <c r="H181" s="26"/>
      <c r="I181" s="26"/>
      <c r="J181" s="77"/>
      <c r="K181" s="26"/>
      <c r="L181" s="26"/>
      <c r="M181" s="33"/>
      <c r="N181" s="26"/>
      <c r="O181" s="26"/>
      <c r="P181" s="26"/>
      <c r="Q181" s="26"/>
    </row>
    <row r="182" spans="1:17" x14ac:dyDescent="0.2">
      <c r="A182" s="26"/>
      <c r="B182" s="26"/>
      <c r="C182" s="77"/>
      <c r="D182" s="77"/>
      <c r="E182" s="79"/>
      <c r="F182" s="26"/>
      <c r="G182" s="26"/>
      <c r="H182" s="26"/>
      <c r="I182" s="26"/>
      <c r="J182" s="77"/>
      <c r="K182" s="26"/>
      <c r="L182" s="26"/>
      <c r="M182" s="33"/>
      <c r="N182" s="26"/>
      <c r="O182" s="26"/>
      <c r="P182" s="26"/>
      <c r="Q182" s="26"/>
    </row>
    <row r="183" spans="1:17" x14ac:dyDescent="0.2">
      <c r="A183" s="26"/>
      <c r="B183" s="26"/>
      <c r="C183" s="77"/>
      <c r="D183" s="77"/>
      <c r="E183" s="79"/>
      <c r="F183" s="26"/>
      <c r="G183" s="26"/>
      <c r="H183" s="26"/>
      <c r="I183" s="26"/>
      <c r="J183" s="77"/>
      <c r="K183" s="26"/>
      <c r="L183" s="26"/>
      <c r="M183" s="33"/>
      <c r="N183" s="26"/>
      <c r="O183" s="26"/>
      <c r="P183" s="26"/>
      <c r="Q183" s="26"/>
    </row>
    <row r="184" spans="1:17" x14ac:dyDescent="0.2">
      <c r="A184" s="26"/>
      <c r="B184" s="26"/>
      <c r="C184" s="77"/>
      <c r="D184" s="77"/>
      <c r="E184" s="79"/>
      <c r="F184" s="26"/>
      <c r="G184" s="26"/>
      <c r="H184" s="26"/>
      <c r="I184" s="26"/>
      <c r="J184" s="77"/>
      <c r="K184" s="26"/>
      <c r="L184" s="26"/>
      <c r="M184" s="33"/>
      <c r="N184" s="26"/>
      <c r="O184" s="26"/>
      <c r="P184" s="26"/>
      <c r="Q184" s="26"/>
    </row>
    <row r="185" spans="1:17" x14ac:dyDescent="0.2">
      <c r="A185" s="26"/>
      <c r="B185" s="26"/>
      <c r="C185" s="77"/>
      <c r="D185" s="77"/>
      <c r="E185" s="79"/>
      <c r="F185" s="26"/>
      <c r="G185" s="26"/>
      <c r="H185" s="26"/>
      <c r="I185" s="26"/>
      <c r="J185" s="95"/>
      <c r="K185" s="26"/>
      <c r="L185" s="26"/>
      <c r="M185" s="33"/>
      <c r="N185" s="26"/>
      <c r="O185" s="26"/>
      <c r="P185" s="26"/>
      <c r="Q185" s="26"/>
    </row>
    <row r="186" spans="1:17" x14ac:dyDescent="0.2">
      <c r="A186" s="26"/>
      <c r="B186" s="26"/>
      <c r="C186" s="77"/>
      <c r="D186" s="77"/>
      <c r="E186" s="79"/>
      <c r="F186" s="26"/>
      <c r="G186" s="26"/>
      <c r="H186" s="26"/>
      <c r="I186" s="96"/>
      <c r="J186" s="77"/>
      <c r="K186" s="26"/>
      <c r="L186" s="26"/>
      <c r="M186" s="33"/>
      <c r="N186" s="26"/>
      <c r="O186" s="26"/>
      <c r="P186" s="26"/>
      <c r="Q186" s="26"/>
    </row>
    <row r="187" spans="1:17" x14ac:dyDescent="0.2">
      <c r="A187" s="26"/>
      <c r="B187" s="26"/>
      <c r="C187" s="77"/>
      <c r="D187" s="77"/>
      <c r="E187" s="79"/>
      <c r="F187" s="26"/>
      <c r="G187" s="26"/>
      <c r="H187" s="26"/>
      <c r="I187" s="26"/>
      <c r="J187" s="77"/>
      <c r="K187" s="26"/>
      <c r="L187" s="26"/>
      <c r="M187" s="33"/>
      <c r="N187" s="26"/>
      <c r="O187" s="26"/>
      <c r="P187" s="26"/>
      <c r="Q187" s="26"/>
    </row>
    <row r="188" spans="1:17" x14ac:dyDescent="0.2">
      <c r="A188" s="26"/>
      <c r="B188" s="26"/>
      <c r="C188" s="77"/>
      <c r="D188" s="77"/>
      <c r="E188" s="79"/>
      <c r="F188" s="26"/>
      <c r="G188" s="26"/>
      <c r="H188" s="26"/>
      <c r="I188" s="26"/>
      <c r="J188" s="77"/>
      <c r="K188" s="26"/>
      <c r="L188" s="26"/>
      <c r="M188" s="33"/>
      <c r="N188" s="26"/>
      <c r="O188" s="26"/>
      <c r="P188" s="26"/>
      <c r="Q188" s="26"/>
    </row>
    <row r="189" spans="1:17" x14ac:dyDescent="0.2">
      <c r="A189" s="26"/>
      <c r="B189" s="26"/>
      <c r="C189" s="77"/>
      <c r="D189" s="77"/>
      <c r="E189" s="79"/>
      <c r="F189" s="26"/>
      <c r="G189" s="26"/>
      <c r="H189" s="26"/>
      <c r="I189" s="26"/>
      <c r="J189" s="77"/>
      <c r="K189" s="26"/>
      <c r="L189" s="26"/>
      <c r="M189" s="33"/>
      <c r="N189" s="26"/>
      <c r="O189" s="26"/>
      <c r="P189" s="26"/>
      <c r="Q189" s="26"/>
    </row>
    <row r="190" spans="1:17" x14ac:dyDescent="0.2">
      <c r="A190" s="26"/>
      <c r="B190" s="26"/>
      <c r="C190" s="77"/>
      <c r="D190" s="77"/>
      <c r="E190" s="79"/>
      <c r="F190" s="26"/>
      <c r="G190" s="26"/>
      <c r="H190" s="26"/>
      <c r="I190" s="26"/>
      <c r="J190" s="77"/>
      <c r="K190" s="26"/>
      <c r="L190" s="26"/>
      <c r="M190" s="33"/>
      <c r="N190" s="26"/>
      <c r="O190" s="26"/>
      <c r="P190" s="26"/>
      <c r="Q190" s="26"/>
    </row>
    <row r="191" spans="1:17" x14ac:dyDescent="0.2">
      <c r="A191" s="26"/>
      <c r="B191" s="26"/>
      <c r="C191" s="77"/>
      <c r="D191" s="77"/>
      <c r="E191" s="79"/>
      <c r="F191" s="26"/>
      <c r="G191" s="26"/>
      <c r="H191" s="26"/>
      <c r="I191" s="96"/>
      <c r="J191" s="77"/>
      <c r="K191" s="26"/>
      <c r="L191" s="26"/>
      <c r="M191" s="33"/>
      <c r="N191" s="26"/>
      <c r="O191" s="26"/>
      <c r="P191" s="26"/>
      <c r="Q191" s="26"/>
    </row>
    <row r="192" spans="1:17" x14ac:dyDescent="0.2">
      <c r="A192" s="26"/>
      <c r="B192" s="26"/>
      <c r="C192" s="77"/>
      <c r="D192" s="77"/>
      <c r="E192" s="79"/>
      <c r="F192" s="26"/>
      <c r="G192" s="26"/>
      <c r="H192" s="26"/>
      <c r="I192" s="26"/>
      <c r="J192" s="77"/>
      <c r="K192" s="26"/>
      <c r="L192" s="26"/>
      <c r="M192" s="33"/>
      <c r="N192" s="26"/>
      <c r="O192" s="26"/>
      <c r="P192" s="26"/>
      <c r="Q192" s="26"/>
    </row>
    <row r="193" spans="1:17" x14ac:dyDescent="0.2">
      <c r="A193" s="26"/>
      <c r="B193" s="26"/>
      <c r="C193" s="77"/>
      <c r="D193" s="77"/>
      <c r="E193" s="79"/>
      <c r="F193" s="26"/>
      <c r="G193" s="26"/>
      <c r="H193" s="26"/>
      <c r="I193" s="26"/>
      <c r="J193" s="77"/>
      <c r="K193" s="26"/>
      <c r="L193" s="26"/>
      <c r="M193" s="33"/>
      <c r="N193" s="26"/>
      <c r="O193" s="26"/>
      <c r="P193" s="26"/>
      <c r="Q193" s="26"/>
    </row>
    <row r="194" spans="1:17" x14ac:dyDescent="0.2">
      <c r="A194" s="26"/>
      <c r="B194" s="26"/>
      <c r="C194" s="77"/>
      <c r="D194" s="77"/>
      <c r="E194" s="79"/>
      <c r="F194" s="26"/>
      <c r="G194" s="26"/>
      <c r="H194" s="26"/>
      <c r="I194" s="26"/>
      <c r="J194" s="77"/>
      <c r="K194" s="26"/>
      <c r="L194" s="26"/>
      <c r="M194" s="33"/>
      <c r="N194" s="26"/>
      <c r="O194" s="26"/>
      <c r="P194" s="26"/>
      <c r="Q194" s="26"/>
    </row>
    <row r="195" spans="1:17" x14ac:dyDescent="0.2">
      <c r="A195" s="26"/>
      <c r="B195" s="26"/>
      <c r="C195" s="77"/>
      <c r="D195" s="77"/>
      <c r="E195" s="79"/>
      <c r="F195" s="26"/>
      <c r="G195" s="26"/>
      <c r="H195" s="26"/>
      <c r="I195" s="26"/>
      <c r="J195" s="77"/>
      <c r="K195" s="26"/>
      <c r="L195" s="26"/>
      <c r="M195" s="33"/>
      <c r="N195" s="26"/>
      <c r="O195" s="26"/>
      <c r="P195" s="26"/>
      <c r="Q195" s="26"/>
    </row>
    <row r="196" spans="1:17" x14ac:dyDescent="0.2">
      <c r="A196" s="26"/>
      <c r="B196" s="26"/>
      <c r="C196" s="77"/>
      <c r="D196" s="77"/>
      <c r="E196" s="79"/>
      <c r="F196" s="26"/>
      <c r="G196" s="26"/>
      <c r="H196" s="26"/>
      <c r="I196" s="26"/>
      <c r="J196" s="77"/>
      <c r="K196" s="26"/>
      <c r="L196" s="26"/>
      <c r="M196" s="33"/>
      <c r="N196" s="26"/>
      <c r="O196" s="26"/>
      <c r="P196" s="26"/>
      <c r="Q196" s="26"/>
    </row>
    <row r="197" spans="1:17" x14ac:dyDescent="0.2">
      <c r="A197" s="26"/>
      <c r="B197" s="26"/>
      <c r="C197" s="77"/>
      <c r="D197" s="77"/>
      <c r="E197" s="79"/>
      <c r="F197" s="26"/>
      <c r="G197" s="26"/>
      <c r="H197" s="26"/>
      <c r="I197" s="96"/>
      <c r="J197" s="77"/>
      <c r="K197" s="26"/>
      <c r="L197" s="26"/>
      <c r="M197" s="33"/>
      <c r="N197" s="26"/>
      <c r="O197" s="26"/>
      <c r="P197" s="26"/>
      <c r="Q197" s="26"/>
    </row>
    <row r="198" spans="1:17" x14ac:dyDescent="0.2">
      <c r="A198" s="26"/>
      <c r="B198" s="26"/>
      <c r="C198" s="77"/>
      <c r="D198" s="77"/>
      <c r="E198" s="79"/>
      <c r="F198" s="26"/>
      <c r="G198" s="26"/>
      <c r="H198" s="26"/>
      <c r="I198" s="96"/>
      <c r="J198" s="77"/>
      <c r="K198" s="26"/>
      <c r="L198" s="26"/>
      <c r="M198" s="33"/>
      <c r="N198" s="26"/>
      <c r="O198" s="26"/>
      <c r="P198" s="26"/>
      <c r="Q198" s="26"/>
    </row>
    <row r="199" spans="1:17" x14ac:dyDescent="0.2">
      <c r="A199" s="26"/>
      <c r="B199" s="26"/>
      <c r="C199" s="77"/>
      <c r="D199" s="77"/>
      <c r="E199" s="79"/>
      <c r="F199" s="26"/>
      <c r="G199" s="26"/>
      <c r="H199" s="26"/>
      <c r="I199" s="26"/>
      <c r="J199" s="77"/>
      <c r="K199" s="26"/>
      <c r="L199" s="26"/>
      <c r="M199" s="33"/>
      <c r="N199" s="26"/>
      <c r="O199" s="26"/>
      <c r="P199" s="26"/>
      <c r="Q199" s="26"/>
    </row>
    <row r="200" spans="1:17" x14ac:dyDescent="0.2">
      <c r="A200" s="26"/>
      <c r="B200" s="26"/>
      <c r="C200" s="77"/>
      <c r="D200" s="77"/>
      <c r="E200" s="79"/>
      <c r="F200" s="26"/>
      <c r="G200" s="26"/>
      <c r="H200" s="26"/>
      <c r="I200" s="96"/>
      <c r="J200" s="77"/>
      <c r="K200" s="26"/>
      <c r="L200" s="26"/>
      <c r="M200" s="33"/>
      <c r="N200" s="26"/>
      <c r="O200" s="26"/>
      <c r="P200" s="26"/>
      <c r="Q200" s="26"/>
    </row>
    <row r="201" spans="1:17" x14ac:dyDescent="0.2">
      <c r="A201" s="26"/>
      <c r="B201" s="26"/>
      <c r="C201" s="77"/>
      <c r="D201" s="77"/>
      <c r="E201" s="79"/>
      <c r="F201" s="26"/>
      <c r="G201" s="26"/>
      <c r="H201" s="26"/>
      <c r="I201" s="96"/>
      <c r="J201" s="77"/>
      <c r="K201" s="26"/>
      <c r="L201" s="26"/>
      <c r="M201" s="33"/>
      <c r="N201" s="26"/>
      <c r="O201" s="26"/>
      <c r="P201" s="26"/>
      <c r="Q201" s="26"/>
    </row>
    <row r="202" spans="1:17" x14ac:dyDescent="0.2">
      <c r="A202" s="26"/>
      <c r="B202" s="26"/>
      <c r="C202" s="77"/>
      <c r="D202" s="77"/>
      <c r="E202" s="79"/>
      <c r="F202" s="26"/>
      <c r="G202" s="26"/>
      <c r="H202" s="26"/>
      <c r="I202" s="96"/>
      <c r="J202" s="77"/>
      <c r="K202" s="26"/>
      <c r="L202" s="26"/>
      <c r="M202" s="33"/>
      <c r="N202" s="26"/>
      <c r="O202" s="26"/>
      <c r="P202" s="26"/>
      <c r="Q202" s="26"/>
    </row>
    <row r="203" spans="1:17" x14ac:dyDescent="0.2">
      <c r="A203" s="26"/>
      <c r="B203" s="26"/>
      <c r="C203" s="77"/>
      <c r="D203" s="103"/>
      <c r="E203" s="79"/>
      <c r="F203" s="26"/>
      <c r="G203" s="96"/>
      <c r="H203" s="96"/>
      <c r="I203" s="96"/>
      <c r="J203" s="77"/>
      <c r="K203" s="26"/>
      <c r="L203" s="26"/>
      <c r="M203" s="33"/>
      <c r="N203" s="26"/>
      <c r="O203" s="26"/>
      <c r="P203" s="26"/>
      <c r="Q203" s="26"/>
    </row>
    <row r="204" spans="1:17" x14ac:dyDescent="0.2">
      <c r="A204" s="6"/>
      <c r="B204" s="8"/>
      <c r="C204" s="8"/>
      <c r="D204" s="8"/>
      <c r="E204" s="8"/>
      <c r="F204" s="30"/>
      <c r="G204" s="35"/>
      <c r="H204" s="38"/>
      <c r="I204" s="37"/>
      <c r="J204" s="37"/>
      <c r="K204" s="8"/>
      <c r="L204" s="35"/>
      <c r="M204" s="33"/>
      <c r="N204" s="36"/>
      <c r="O204" s="33"/>
      <c r="P204" s="33"/>
      <c r="Q204" s="26"/>
    </row>
    <row r="205" spans="1:17" x14ac:dyDescent="0.2">
      <c r="A205" s="26"/>
      <c r="B205" s="26"/>
      <c r="C205" s="77"/>
      <c r="D205" s="77"/>
      <c r="E205" s="79"/>
      <c r="F205" s="26"/>
      <c r="G205" s="96"/>
      <c r="H205" s="96"/>
      <c r="I205" s="96"/>
      <c r="J205" s="77"/>
      <c r="K205" s="26"/>
      <c r="L205" s="26"/>
      <c r="M205" s="33"/>
      <c r="N205" s="26"/>
      <c r="O205" s="26"/>
      <c r="P205" s="26"/>
      <c r="Q205" s="26"/>
    </row>
    <row r="206" spans="1:17" x14ac:dyDescent="0.2">
      <c r="A206" s="96"/>
      <c r="B206" s="26"/>
      <c r="C206" s="77"/>
      <c r="D206" s="77"/>
      <c r="E206" s="79"/>
      <c r="F206" s="26"/>
      <c r="G206" s="96"/>
      <c r="H206" s="96"/>
      <c r="I206" s="96"/>
      <c r="J206" s="77"/>
      <c r="K206" s="26"/>
      <c r="L206" s="26"/>
      <c r="M206" s="33"/>
      <c r="N206" s="100"/>
      <c r="O206" s="26"/>
      <c r="P206" s="100"/>
      <c r="Q206" s="26"/>
    </row>
    <row r="207" spans="1:17" x14ac:dyDescent="0.2">
      <c r="A207" s="12"/>
      <c r="B207" s="77"/>
      <c r="C207" s="77"/>
      <c r="D207" s="77"/>
      <c r="E207" s="77"/>
      <c r="F207" s="80"/>
      <c r="G207" s="77"/>
      <c r="H207" s="38"/>
      <c r="I207" s="81"/>
      <c r="J207" s="77"/>
      <c r="K207" s="77"/>
      <c r="L207" s="77"/>
      <c r="M207" s="33"/>
      <c r="N207" s="82"/>
      <c r="O207" s="33"/>
      <c r="P207" s="33"/>
      <c r="Q207" s="26"/>
    </row>
    <row r="208" spans="1:17" x14ac:dyDescent="0.2">
      <c r="A208" s="12"/>
      <c r="B208" s="77"/>
      <c r="C208" s="77"/>
      <c r="D208" s="77"/>
      <c r="E208" s="77"/>
      <c r="F208" s="80"/>
      <c r="G208" s="77"/>
      <c r="H208" s="38"/>
      <c r="I208" s="81"/>
      <c r="J208" s="77"/>
      <c r="K208" s="77"/>
      <c r="L208" s="77"/>
      <c r="M208" s="33"/>
      <c r="N208" s="82"/>
      <c r="O208" s="33"/>
      <c r="P208" s="33"/>
      <c r="Q208" s="26"/>
    </row>
    <row r="209" spans="1:17" x14ac:dyDescent="0.2">
      <c r="A209" s="26"/>
      <c r="B209" s="26"/>
      <c r="C209" s="77"/>
      <c r="D209" s="77"/>
      <c r="E209" s="79"/>
      <c r="F209" s="26"/>
      <c r="G209" s="26"/>
      <c r="H209" s="26"/>
      <c r="I209" s="96"/>
      <c r="J209" s="77"/>
      <c r="K209" s="26"/>
      <c r="L209" s="26"/>
      <c r="M209" s="33"/>
      <c r="N209" s="26"/>
      <c r="O209" s="26"/>
      <c r="P209" s="26"/>
      <c r="Q209" s="26"/>
    </row>
    <row r="210" spans="1:17" x14ac:dyDescent="0.2">
      <c r="A210" s="26"/>
      <c r="B210" s="26"/>
      <c r="C210" s="77"/>
      <c r="D210" s="103"/>
      <c r="E210" s="79"/>
      <c r="F210" s="26"/>
      <c r="G210" s="96"/>
      <c r="H210" s="26"/>
      <c r="I210" s="96"/>
      <c r="J210" s="77"/>
      <c r="K210" s="26"/>
      <c r="L210" s="26"/>
      <c r="M210" s="33"/>
      <c r="N210" s="26"/>
      <c r="O210" s="26"/>
      <c r="P210" s="26"/>
      <c r="Q210" s="26"/>
    </row>
    <row r="211" spans="1:17" x14ac:dyDescent="0.2">
      <c r="A211" s="26"/>
      <c r="B211" s="26"/>
      <c r="C211" s="77"/>
      <c r="D211" s="103"/>
      <c r="E211" s="79"/>
      <c r="F211" s="26"/>
      <c r="G211" s="96"/>
      <c r="H211" s="96"/>
      <c r="I211" s="96"/>
      <c r="J211" s="77"/>
      <c r="K211" s="26"/>
      <c r="L211" s="26"/>
      <c r="M211" s="33"/>
      <c r="N211" s="26"/>
      <c r="O211" s="26"/>
      <c r="P211" s="26"/>
      <c r="Q211" s="26"/>
    </row>
    <row r="212" spans="1:17" x14ac:dyDescent="0.2">
      <c r="A212" s="26"/>
      <c r="B212" s="26"/>
      <c r="C212" s="77"/>
      <c r="D212" s="8"/>
      <c r="E212" s="79"/>
      <c r="F212" s="26"/>
      <c r="G212" s="96"/>
      <c r="H212" s="96"/>
      <c r="I212" s="96"/>
      <c r="J212" s="77"/>
      <c r="K212" s="26"/>
      <c r="L212" s="26"/>
      <c r="M212" s="33"/>
      <c r="N212" s="26"/>
      <c r="O212" s="26"/>
      <c r="P212" s="26"/>
      <c r="Q212" s="26"/>
    </row>
    <row r="213" spans="1:17" x14ac:dyDescent="0.2">
      <c r="A213" s="26"/>
      <c r="B213" s="26"/>
      <c r="C213" s="77"/>
      <c r="D213" s="77"/>
      <c r="E213" s="79"/>
      <c r="F213" s="26"/>
      <c r="G213" s="96"/>
      <c r="H213" s="96"/>
      <c r="I213" s="96"/>
      <c r="J213" s="77"/>
      <c r="K213" s="26"/>
      <c r="L213" s="26"/>
      <c r="M213" s="33"/>
      <c r="N213" s="26"/>
      <c r="O213" s="26"/>
      <c r="P213" s="26"/>
      <c r="Q213" s="26"/>
    </row>
    <row r="214" spans="1:17" x14ac:dyDescent="0.2">
      <c r="A214" s="26"/>
      <c r="B214" s="26"/>
      <c r="C214" s="77"/>
      <c r="D214" s="77"/>
      <c r="E214" s="79"/>
      <c r="F214" s="26"/>
      <c r="G214" s="96"/>
      <c r="H214" s="26"/>
      <c r="I214" s="96"/>
      <c r="J214" s="77"/>
      <c r="K214" s="26"/>
      <c r="L214" s="26"/>
      <c r="M214" s="33"/>
      <c r="N214" s="26"/>
      <c r="O214" s="26"/>
      <c r="P214" s="26"/>
      <c r="Q214" s="26"/>
    </row>
    <row r="215" spans="1:17" x14ac:dyDescent="0.2">
      <c r="A215" s="26"/>
      <c r="B215" s="26"/>
      <c r="C215" s="77"/>
      <c r="D215" s="102"/>
      <c r="E215" s="79"/>
      <c r="F215" s="26"/>
      <c r="G215" s="96"/>
      <c r="H215" s="26"/>
      <c r="I215" s="96"/>
      <c r="J215" s="77"/>
      <c r="K215" s="26"/>
      <c r="L215" s="26"/>
      <c r="M215" s="33"/>
      <c r="N215" s="26"/>
      <c r="O215" s="26"/>
      <c r="P215" s="26"/>
      <c r="Q215" s="26"/>
    </row>
    <row r="216" spans="1:17" x14ac:dyDescent="0.2">
      <c r="A216" s="26"/>
      <c r="B216" s="26"/>
      <c r="C216" s="77"/>
      <c r="D216" s="77"/>
      <c r="E216" s="79"/>
      <c r="F216" s="26"/>
      <c r="G216" s="96"/>
      <c r="H216" s="26"/>
      <c r="I216" s="96"/>
      <c r="J216" s="77"/>
      <c r="K216" s="26"/>
      <c r="L216" s="26"/>
      <c r="M216" s="33"/>
      <c r="N216" s="26"/>
      <c r="O216" s="26"/>
      <c r="P216" s="26"/>
      <c r="Q216" s="26"/>
    </row>
    <row r="217" spans="1:17" x14ac:dyDescent="0.2">
      <c r="A217" s="26"/>
      <c r="B217" s="26"/>
      <c r="C217" s="77"/>
      <c r="D217" s="26"/>
      <c r="E217" s="26"/>
      <c r="F217" s="26"/>
      <c r="G217" s="26"/>
      <c r="H217" s="26"/>
      <c r="I217" s="96"/>
      <c r="J217" s="77"/>
      <c r="K217" s="26"/>
      <c r="L217" s="26"/>
      <c r="M217" s="33"/>
      <c r="N217" s="26"/>
      <c r="O217" s="26"/>
      <c r="P217" s="26"/>
      <c r="Q217" s="26"/>
    </row>
  </sheetData>
  <autoFilter ref="A1:Q217" xr:uid="{22259049-1325-46AE-944A-A90996E1A1FB}"/>
  <phoneticPr fontId="1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F75B5C-E3EA-47A8-A64C-8B178581F1DC}">
          <x14:formula1>
            <xm:f>Sheet1!$A$1:$A$4</xm:f>
          </x14:formula1>
          <xm:sqref>Q2:Q217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33A9-7100-4912-8698-0892E308DF36}">
  <dimension ref="A1:O217"/>
  <sheetViews>
    <sheetView tabSelected="1" topLeftCell="G1" workbookViewId="0">
      <selection activeCell="O52" sqref="O52"/>
    </sheetView>
    <sheetView tabSelected="1" workbookViewId="1">
      <selection activeCell="F27" sqref="F27"/>
    </sheetView>
  </sheetViews>
  <sheetFormatPr defaultRowHeight="12.75" x14ac:dyDescent="0.2"/>
  <cols>
    <col min="1" max="1" width="18.6640625" customWidth="1"/>
    <col min="2" max="3" width="18.83203125" customWidth="1"/>
    <col min="4" max="4" width="18.6640625" customWidth="1"/>
    <col min="5" max="5" width="18.5" customWidth="1"/>
    <col min="6" max="6" width="27.6640625" customWidth="1"/>
    <col min="7" max="7" width="18.6640625" customWidth="1"/>
    <col min="8" max="8" width="28.1640625" customWidth="1"/>
    <col min="9" max="9" width="15.6640625" customWidth="1"/>
    <col min="10" max="10" width="28" customWidth="1"/>
    <col min="11" max="11" width="18.83203125" customWidth="1"/>
    <col min="12" max="14" width="18.6640625" customWidth="1"/>
    <col min="15" max="15" width="19.1640625" customWidth="1"/>
    <col min="16" max="16" width="12.5" bestFit="1" customWidth="1"/>
  </cols>
  <sheetData>
    <row r="1" spans="1:15" ht="25.5" x14ac:dyDescent="0.2">
      <c r="A1" s="147" t="s">
        <v>5</v>
      </c>
      <c r="B1" s="148" t="s">
        <v>0</v>
      </c>
      <c r="C1" s="148" t="s">
        <v>15</v>
      </c>
      <c r="D1" s="148" t="s">
        <v>36</v>
      </c>
      <c r="E1" s="149" t="s">
        <v>21</v>
      </c>
      <c r="F1" s="148" t="s">
        <v>1</v>
      </c>
      <c r="G1" s="150" t="s">
        <v>2</v>
      </c>
      <c r="H1" s="148" t="s">
        <v>4</v>
      </c>
      <c r="I1" s="148" t="s">
        <v>9</v>
      </c>
      <c r="J1" s="151" t="s">
        <v>16</v>
      </c>
      <c r="K1" s="152" t="s">
        <v>11</v>
      </c>
      <c r="L1" s="153" t="s">
        <v>30</v>
      </c>
      <c r="M1" s="152" t="s">
        <v>12</v>
      </c>
      <c r="N1" s="152" t="s">
        <v>20</v>
      </c>
      <c r="O1" s="154" t="s">
        <v>28</v>
      </c>
    </row>
    <row r="2" spans="1:15" ht="25.5" x14ac:dyDescent="0.2">
      <c r="A2" s="155" t="s">
        <v>128</v>
      </c>
      <c r="B2" s="29"/>
      <c r="C2" s="29" t="s">
        <v>38</v>
      </c>
      <c r="D2" s="8" t="s">
        <v>32</v>
      </c>
      <c r="E2" s="30"/>
      <c r="F2" s="8" t="s">
        <v>48</v>
      </c>
      <c r="G2" s="29" t="s">
        <v>49</v>
      </c>
      <c r="H2" s="31" t="s">
        <v>44</v>
      </c>
      <c r="I2" s="29"/>
      <c r="J2" s="32"/>
      <c r="K2" s="100">
        <v>45623</v>
      </c>
      <c r="L2" s="168"/>
      <c r="M2" s="33"/>
      <c r="N2" s="33"/>
      <c r="O2" s="96"/>
    </row>
    <row r="3" spans="1:15" x14ac:dyDescent="0.2">
      <c r="A3" s="155" t="s">
        <v>138</v>
      </c>
      <c r="B3" s="29"/>
      <c r="C3" s="29" t="s">
        <v>38</v>
      </c>
      <c r="D3" s="8" t="s">
        <v>32</v>
      </c>
      <c r="E3" s="30"/>
      <c r="F3" s="8" t="s">
        <v>66</v>
      </c>
      <c r="G3" s="29" t="s">
        <v>67</v>
      </c>
      <c r="H3" s="31" t="s">
        <v>44</v>
      </c>
      <c r="I3" s="29"/>
      <c r="J3" s="32"/>
      <c r="K3" s="100">
        <v>45606</v>
      </c>
      <c r="L3" s="168"/>
      <c r="M3" s="33"/>
      <c r="N3" s="33"/>
      <c r="O3" s="96"/>
    </row>
    <row r="4" spans="1:15" ht="38.25" x14ac:dyDescent="0.2">
      <c r="A4" s="155" t="s">
        <v>141</v>
      </c>
      <c r="B4" s="29"/>
      <c r="C4" s="29" t="s">
        <v>38</v>
      </c>
      <c r="D4" s="8" t="s">
        <v>32</v>
      </c>
      <c r="E4" s="30"/>
      <c r="F4" s="8" t="s">
        <v>74</v>
      </c>
      <c r="G4" s="29" t="s">
        <v>29</v>
      </c>
      <c r="H4" s="31" t="s">
        <v>44</v>
      </c>
      <c r="I4" s="29"/>
      <c r="J4" s="32" t="s">
        <v>185</v>
      </c>
      <c r="K4" s="100">
        <v>45797</v>
      </c>
      <c r="L4" s="168"/>
      <c r="M4" s="33"/>
      <c r="N4" s="33"/>
      <c r="O4" s="96"/>
    </row>
    <row r="5" spans="1:15" ht="25.5" x14ac:dyDescent="0.2">
      <c r="A5" s="155" t="s">
        <v>145</v>
      </c>
      <c r="B5" s="29"/>
      <c r="C5" s="29" t="s">
        <v>38</v>
      </c>
      <c r="D5" s="8" t="s">
        <v>32</v>
      </c>
      <c r="E5" s="30"/>
      <c r="F5" s="8" t="s">
        <v>82</v>
      </c>
      <c r="G5" s="29" t="s">
        <v>81</v>
      </c>
      <c r="H5" s="31" t="s">
        <v>44</v>
      </c>
      <c r="I5" s="29"/>
      <c r="J5" s="32" t="s">
        <v>186</v>
      </c>
      <c r="K5" s="100">
        <v>45772</v>
      </c>
      <c r="L5" s="168"/>
      <c r="M5" s="33"/>
      <c r="N5" s="33"/>
      <c r="O5" s="96"/>
    </row>
    <row r="6" spans="1:15" ht="25.5" x14ac:dyDescent="0.2">
      <c r="A6" s="155" t="s">
        <v>136</v>
      </c>
      <c r="B6" s="29"/>
      <c r="C6" s="29" t="s">
        <v>38</v>
      </c>
      <c r="D6" s="8" t="s">
        <v>32</v>
      </c>
      <c r="E6" s="30"/>
      <c r="F6" s="8" t="s">
        <v>62</v>
      </c>
      <c r="G6" s="29" t="s">
        <v>63</v>
      </c>
      <c r="H6" s="31" t="s">
        <v>44</v>
      </c>
      <c r="I6" s="29"/>
      <c r="J6" s="32"/>
      <c r="K6" s="100">
        <v>45623</v>
      </c>
      <c r="L6" s="168"/>
      <c r="M6" s="33"/>
      <c r="N6" s="33"/>
      <c r="O6" s="96"/>
    </row>
    <row r="7" spans="1:15" x14ac:dyDescent="0.2">
      <c r="A7" s="155" t="s">
        <v>137</v>
      </c>
      <c r="B7" s="29"/>
      <c r="C7" s="29" t="s">
        <v>38</v>
      </c>
      <c r="D7" s="8" t="s">
        <v>32</v>
      </c>
      <c r="E7" s="30"/>
      <c r="F7" s="8" t="s">
        <v>64</v>
      </c>
      <c r="G7" s="29" t="s">
        <v>65</v>
      </c>
      <c r="H7" s="31" t="s">
        <v>44</v>
      </c>
      <c r="I7" s="29"/>
      <c r="J7" s="32"/>
      <c r="K7" s="100">
        <v>45615</v>
      </c>
      <c r="L7" s="168"/>
      <c r="M7" s="33"/>
      <c r="N7" s="33"/>
      <c r="O7" s="96"/>
    </row>
    <row r="8" spans="1:15" ht="25.5" x14ac:dyDescent="0.2">
      <c r="A8" s="155" t="s">
        <v>159</v>
      </c>
      <c r="B8" s="29"/>
      <c r="C8" s="29" t="s">
        <v>38</v>
      </c>
      <c r="D8" s="8" t="s">
        <v>32</v>
      </c>
      <c r="E8" s="30"/>
      <c r="F8" s="8" t="s">
        <v>111</v>
      </c>
      <c r="G8" s="29" t="s">
        <v>112</v>
      </c>
      <c r="H8" s="31" t="s">
        <v>44</v>
      </c>
      <c r="I8" s="29"/>
      <c r="J8" s="32"/>
      <c r="K8" s="100">
        <v>45618</v>
      </c>
      <c r="L8" s="168"/>
      <c r="M8" s="33"/>
      <c r="N8" s="33"/>
      <c r="O8" s="96"/>
    </row>
    <row r="9" spans="1:15" x14ac:dyDescent="0.2">
      <c r="A9" s="155" t="s">
        <v>129</v>
      </c>
      <c r="B9" s="29"/>
      <c r="C9" s="31" t="s">
        <v>38</v>
      </c>
      <c r="D9" s="31" t="s">
        <v>32</v>
      </c>
      <c r="E9" s="31"/>
      <c r="F9" s="31" t="s">
        <v>52</v>
      </c>
      <c r="G9" s="31" t="s">
        <v>53</v>
      </c>
      <c r="H9" s="31" t="s">
        <v>44</v>
      </c>
      <c r="I9" s="29"/>
      <c r="J9" s="32"/>
      <c r="K9" s="100">
        <v>45624</v>
      </c>
      <c r="L9" s="168"/>
      <c r="M9" s="33"/>
      <c r="N9" s="33"/>
      <c r="O9" s="96"/>
    </row>
    <row r="10" spans="1:15" x14ac:dyDescent="0.2">
      <c r="A10" s="155" t="s">
        <v>156</v>
      </c>
      <c r="B10" s="29"/>
      <c r="C10" s="29" t="s">
        <v>38</v>
      </c>
      <c r="D10" s="8" t="s">
        <v>32</v>
      </c>
      <c r="E10" s="30"/>
      <c r="F10" s="8" t="s">
        <v>105</v>
      </c>
      <c r="G10" s="29" t="s">
        <v>104</v>
      </c>
      <c r="H10" s="31" t="s">
        <v>44</v>
      </c>
      <c r="I10" s="29"/>
      <c r="J10" s="32"/>
      <c r="K10" s="100">
        <v>45694</v>
      </c>
      <c r="L10" s="168"/>
      <c r="M10" s="33"/>
      <c r="N10" s="33"/>
      <c r="O10" s="96"/>
    </row>
    <row r="11" spans="1:15" x14ac:dyDescent="0.2">
      <c r="A11" s="155" t="s">
        <v>151</v>
      </c>
      <c r="B11" s="29"/>
      <c r="C11" s="29" t="s">
        <v>38</v>
      </c>
      <c r="D11" s="8" t="s">
        <v>32</v>
      </c>
      <c r="E11" s="30"/>
      <c r="F11" s="8" t="s">
        <v>93</v>
      </c>
      <c r="G11" s="29" t="s">
        <v>86</v>
      </c>
      <c r="H11" s="31" t="s">
        <v>44</v>
      </c>
      <c r="I11" s="29"/>
      <c r="J11" s="32"/>
      <c r="K11" s="100">
        <v>45633</v>
      </c>
      <c r="L11" s="168"/>
      <c r="M11" s="33"/>
      <c r="N11" s="33"/>
      <c r="O11" s="96"/>
    </row>
    <row r="12" spans="1:15" x14ac:dyDescent="0.2">
      <c r="A12" s="156" t="s">
        <v>132</v>
      </c>
      <c r="B12" s="157"/>
      <c r="C12" s="157" t="s">
        <v>38</v>
      </c>
      <c r="D12" s="157" t="s">
        <v>32</v>
      </c>
      <c r="E12" s="158"/>
      <c r="F12" s="157" t="s">
        <v>57</v>
      </c>
      <c r="G12" s="157" t="s">
        <v>35</v>
      </c>
      <c r="H12" s="159" t="s">
        <v>44</v>
      </c>
      <c r="I12" s="157"/>
      <c r="J12" s="160"/>
      <c r="K12" s="100">
        <v>45636</v>
      </c>
      <c r="L12" s="169"/>
      <c r="M12" s="161"/>
      <c r="N12" s="161"/>
      <c r="O12" s="162"/>
    </row>
    <row r="13" spans="1:15" ht="25.5" x14ac:dyDescent="0.2">
      <c r="A13" s="155" t="s">
        <v>134</v>
      </c>
      <c r="B13" s="29"/>
      <c r="C13" s="29" t="s">
        <v>38</v>
      </c>
      <c r="D13" s="8" t="s">
        <v>32</v>
      </c>
      <c r="E13" s="30"/>
      <c r="F13" s="8" t="s">
        <v>59</v>
      </c>
      <c r="G13" s="29" t="s">
        <v>60</v>
      </c>
      <c r="H13" s="31" t="s">
        <v>44</v>
      </c>
      <c r="I13" s="29"/>
      <c r="J13" s="32"/>
      <c r="K13" s="100">
        <v>45615</v>
      </c>
      <c r="L13" s="168"/>
      <c r="M13" s="33"/>
      <c r="N13" s="33"/>
      <c r="O13" s="96"/>
    </row>
    <row r="14" spans="1:15" ht="25.5" x14ac:dyDescent="0.2">
      <c r="A14" s="155" t="s">
        <v>135</v>
      </c>
      <c r="B14" s="29"/>
      <c r="C14" s="29" t="s">
        <v>38</v>
      </c>
      <c r="D14" s="8" t="s">
        <v>32</v>
      </c>
      <c r="E14" s="30"/>
      <c r="F14" s="8" t="s">
        <v>61</v>
      </c>
      <c r="G14" s="29" t="s">
        <v>60</v>
      </c>
      <c r="H14" s="31" t="s">
        <v>44</v>
      </c>
      <c r="I14" s="29"/>
      <c r="J14" s="32"/>
      <c r="K14" s="100">
        <v>45616</v>
      </c>
      <c r="L14" s="168"/>
      <c r="M14" s="33"/>
      <c r="N14" s="33"/>
      <c r="O14" s="96"/>
    </row>
    <row r="15" spans="1:15" x14ac:dyDescent="0.2">
      <c r="A15" s="155" t="s">
        <v>130</v>
      </c>
      <c r="B15" s="29"/>
      <c r="C15" s="29" t="s">
        <v>38</v>
      </c>
      <c r="D15" s="8" t="s">
        <v>32</v>
      </c>
      <c r="E15" s="30"/>
      <c r="F15" s="8" t="s">
        <v>54</v>
      </c>
      <c r="G15" s="29" t="s">
        <v>55</v>
      </c>
      <c r="H15" s="31" t="s">
        <v>44</v>
      </c>
      <c r="I15" s="29"/>
      <c r="J15" s="32"/>
      <c r="K15" s="100">
        <v>45616</v>
      </c>
      <c r="L15" s="168"/>
      <c r="M15" s="33"/>
      <c r="N15" s="33"/>
      <c r="O15" s="96"/>
    </row>
    <row r="16" spans="1:15" ht="25.5" x14ac:dyDescent="0.2">
      <c r="A16" s="155" t="s">
        <v>171</v>
      </c>
      <c r="B16" s="29"/>
      <c r="C16" s="29" t="s">
        <v>38</v>
      </c>
      <c r="D16" s="8" t="s">
        <v>32</v>
      </c>
      <c r="E16" s="30"/>
      <c r="F16" s="8" t="s">
        <v>73</v>
      </c>
      <c r="G16" s="29" t="s">
        <v>33</v>
      </c>
      <c r="H16" s="31" t="s">
        <v>44</v>
      </c>
      <c r="I16" s="29"/>
      <c r="J16" s="32"/>
      <c r="K16" s="100">
        <v>45642</v>
      </c>
      <c r="L16" s="168"/>
      <c r="M16" s="33"/>
      <c r="N16" s="33"/>
      <c r="O16" s="26"/>
    </row>
    <row r="17" spans="1:15" ht="25.5" x14ac:dyDescent="0.2">
      <c r="A17" s="155" t="s">
        <v>143</v>
      </c>
      <c r="B17" s="29"/>
      <c r="C17" s="29" t="s">
        <v>38</v>
      </c>
      <c r="D17" s="8" t="s">
        <v>32</v>
      </c>
      <c r="E17" s="30"/>
      <c r="F17" s="8" t="s">
        <v>80</v>
      </c>
      <c r="G17" s="29" t="s">
        <v>81</v>
      </c>
      <c r="H17" s="31" t="s">
        <v>44</v>
      </c>
      <c r="I17" s="29"/>
      <c r="J17" s="32"/>
      <c r="K17" s="100">
        <v>45625</v>
      </c>
      <c r="L17" s="168"/>
      <c r="M17" s="33"/>
      <c r="N17" s="33"/>
      <c r="O17" s="96"/>
    </row>
    <row r="18" spans="1:15" ht="25.5" x14ac:dyDescent="0.2">
      <c r="A18" s="155" t="s">
        <v>146</v>
      </c>
      <c r="B18" s="29"/>
      <c r="C18" s="29" t="s">
        <v>38</v>
      </c>
      <c r="D18" s="8" t="s">
        <v>32</v>
      </c>
      <c r="E18" s="30"/>
      <c r="F18" s="8" t="s">
        <v>83</v>
      </c>
      <c r="G18" s="29" t="s">
        <v>84</v>
      </c>
      <c r="H18" s="31" t="s">
        <v>44</v>
      </c>
      <c r="I18" s="29"/>
      <c r="J18" s="32"/>
      <c r="K18" s="100">
        <v>45645</v>
      </c>
      <c r="L18" s="168"/>
      <c r="M18" s="33"/>
      <c r="N18" s="33"/>
      <c r="O18" s="96"/>
    </row>
    <row r="19" spans="1:15" ht="38.25" x14ac:dyDescent="0.2">
      <c r="A19" s="155" t="s">
        <v>126</v>
      </c>
      <c r="B19" s="29"/>
      <c r="C19" s="29" t="s">
        <v>38</v>
      </c>
      <c r="D19" s="8" t="s">
        <v>32</v>
      </c>
      <c r="E19" s="30"/>
      <c r="F19" s="8" t="s">
        <v>45</v>
      </c>
      <c r="G19" s="29" t="s">
        <v>46</v>
      </c>
      <c r="H19" s="31" t="s">
        <v>44</v>
      </c>
      <c r="I19" s="29"/>
      <c r="J19" s="32" t="s">
        <v>276</v>
      </c>
      <c r="K19" s="100">
        <v>45889</v>
      </c>
      <c r="L19" s="168"/>
      <c r="M19" s="33"/>
      <c r="N19" s="33"/>
      <c r="O19" s="96"/>
    </row>
    <row r="20" spans="1:15" x14ac:dyDescent="0.2">
      <c r="A20" s="155" t="s">
        <v>157</v>
      </c>
      <c r="B20" s="29"/>
      <c r="C20" s="29" t="s">
        <v>38</v>
      </c>
      <c r="D20" s="8" t="s">
        <v>32</v>
      </c>
      <c r="E20" s="30"/>
      <c r="F20" s="8" t="s">
        <v>106</v>
      </c>
      <c r="G20" s="29" t="s">
        <v>107</v>
      </c>
      <c r="H20" s="31" t="s">
        <v>44</v>
      </c>
      <c r="I20" s="29"/>
      <c r="J20" s="32"/>
      <c r="K20" s="100">
        <v>45707</v>
      </c>
      <c r="L20" s="168"/>
      <c r="M20" s="33"/>
      <c r="N20" s="33"/>
      <c r="O20" s="96"/>
    </row>
    <row r="21" spans="1:15" x14ac:dyDescent="0.2">
      <c r="A21" s="155" t="s">
        <v>139</v>
      </c>
      <c r="B21" s="29"/>
      <c r="C21" s="29" t="s">
        <v>38</v>
      </c>
      <c r="D21" s="8" t="s">
        <v>32</v>
      </c>
      <c r="E21" s="30"/>
      <c r="F21" s="8" t="s">
        <v>68</v>
      </c>
      <c r="G21" s="29" t="s">
        <v>69</v>
      </c>
      <c r="H21" s="31" t="s">
        <v>44</v>
      </c>
      <c r="I21" s="29"/>
      <c r="J21" s="32"/>
      <c r="K21" s="100">
        <v>45646</v>
      </c>
      <c r="L21" s="168"/>
      <c r="M21" s="33"/>
      <c r="N21" s="33"/>
      <c r="O21" s="96"/>
    </row>
    <row r="22" spans="1:15" ht="38.25" x14ac:dyDescent="0.2">
      <c r="A22" s="155" t="s">
        <v>140</v>
      </c>
      <c r="B22" s="29"/>
      <c r="C22" s="29" t="s">
        <v>38</v>
      </c>
      <c r="D22" s="8" t="s">
        <v>32</v>
      </c>
      <c r="E22" s="30"/>
      <c r="F22" s="8" t="s">
        <v>70</v>
      </c>
      <c r="G22" s="29" t="s">
        <v>69</v>
      </c>
      <c r="H22" s="31" t="s">
        <v>180</v>
      </c>
      <c r="I22" s="29"/>
      <c r="J22" s="32" t="s">
        <v>181</v>
      </c>
      <c r="K22" s="100">
        <v>45647</v>
      </c>
      <c r="L22" s="168"/>
      <c r="M22" s="163"/>
      <c r="N22" s="33"/>
      <c r="O22" s="96"/>
    </row>
    <row r="23" spans="1:15" ht="25.5" x14ac:dyDescent="0.2">
      <c r="A23" s="155" t="s">
        <v>158</v>
      </c>
      <c r="B23" s="29"/>
      <c r="C23" s="29" t="s">
        <v>38</v>
      </c>
      <c r="D23" s="8" t="s">
        <v>32</v>
      </c>
      <c r="E23" s="30"/>
      <c r="F23" s="8" t="s">
        <v>108</v>
      </c>
      <c r="G23" s="29" t="s">
        <v>109</v>
      </c>
      <c r="H23" s="31" t="s">
        <v>44</v>
      </c>
      <c r="I23" s="29"/>
      <c r="J23" s="32"/>
      <c r="K23" s="100">
        <v>45679</v>
      </c>
      <c r="L23" s="168"/>
      <c r="M23" s="33"/>
      <c r="N23" s="33"/>
      <c r="O23" s="96"/>
    </row>
    <row r="24" spans="1:15" ht="25.5" x14ac:dyDescent="0.2">
      <c r="A24" s="155" t="s">
        <v>131</v>
      </c>
      <c r="B24" s="29"/>
      <c r="C24" s="29" t="s">
        <v>38</v>
      </c>
      <c r="D24" s="8" t="s">
        <v>32</v>
      </c>
      <c r="E24" s="30"/>
      <c r="F24" s="8" t="s">
        <v>56</v>
      </c>
      <c r="G24" s="29" t="s">
        <v>34</v>
      </c>
      <c r="H24" s="31" t="s">
        <v>44</v>
      </c>
      <c r="I24" s="29"/>
      <c r="J24" s="32"/>
      <c r="K24" s="100">
        <v>45646</v>
      </c>
      <c r="L24" s="168"/>
      <c r="M24" s="33"/>
      <c r="N24" s="33"/>
      <c r="O24" s="96"/>
    </row>
    <row r="25" spans="1:15" ht="25.5" x14ac:dyDescent="0.2">
      <c r="A25" s="155" t="s">
        <v>155</v>
      </c>
      <c r="B25" s="29"/>
      <c r="C25" s="29" t="s">
        <v>38</v>
      </c>
      <c r="D25" s="8" t="s">
        <v>32</v>
      </c>
      <c r="E25" s="30"/>
      <c r="F25" s="8" t="s">
        <v>102</v>
      </c>
      <c r="G25" s="29" t="s">
        <v>103</v>
      </c>
      <c r="H25" s="31" t="s">
        <v>44</v>
      </c>
      <c r="I25" s="29"/>
      <c r="J25" s="32"/>
      <c r="K25" s="100">
        <v>45664</v>
      </c>
      <c r="L25" s="168"/>
      <c r="M25" s="33"/>
      <c r="N25" s="33"/>
      <c r="O25" s="96"/>
    </row>
    <row r="26" spans="1:15" ht="25.5" x14ac:dyDescent="0.2">
      <c r="A26" s="155" t="s">
        <v>176</v>
      </c>
      <c r="B26" s="29"/>
      <c r="C26" s="29" t="s">
        <v>38</v>
      </c>
      <c r="D26" s="8" t="s">
        <v>32</v>
      </c>
      <c r="E26" s="30"/>
      <c r="F26" s="8" t="s">
        <v>50</v>
      </c>
      <c r="G26" s="29" t="s">
        <v>51</v>
      </c>
      <c r="H26" s="31" t="s">
        <v>44</v>
      </c>
      <c r="I26" s="29"/>
      <c r="J26" s="32"/>
      <c r="K26" s="100">
        <v>45714</v>
      </c>
      <c r="L26" s="168"/>
      <c r="M26" s="33"/>
      <c r="N26" s="33"/>
      <c r="O26" s="96"/>
    </row>
    <row r="27" spans="1:15" x14ac:dyDescent="0.2">
      <c r="A27" s="155" t="s">
        <v>142</v>
      </c>
      <c r="B27" s="29"/>
      <c r="C27" s="29" t="s">
        <v>38</v>
      </c>
      <c r="D27" s="8" t="s">
        <v>32</v>
      </c>
      <c r="E27" s="30"/>
      <c r="F27" s="8" t="s">
        <v>75</v>
      </c>
      <c r="G27" s="29" t="s">
        <v>76</v>
      </c>
      <c r="H27" s="31" t="s">
        <v>44</v>
      </c>
      <c r="I27" s="29"/>
      <c r="J27" s="32"/>
      <c r="K27" s="100">
        <v>45670</v>
      </c>
      <c r="L27" s="168"/>
      <c r="M27" s="33"/>
      <c r="N27" s="33"/>
      <c r="O27" s="96"/>
    </row>
    <row r="28" spans="1:15" x14ac:dyDescent="0.2">
      <c r="A28" s="155" t="s">
        <v>133</v>
      </c>
      <c r="B28" s="29"/>
      <c r="C28" s="29" t="s">
        <v>38</v>
      </c>
      <c r="D28" s="8" t="s">
        <v>32</v>
      </c>
      <c r="E28" s="30"/>
      <c r="F28" s="8" t="s">
        <v>58</v>
      </c>
      <c r="G28" s="29" t="s">
        <v>35</v>
      </c>
      <c r="H28" s="31" t="s">
        <v>44</v>
      </c>
      <c r="I28" s="29"/>
      <c r="J28" s="32"/>
      <c r="K28" s="100">
        <v>45707</v>
      </c>
      <c r="L28" s="168"/>
      <c r="M28" s="33"/>
      <c r="N28" s="33"/>
      <c r="O28" s="96"/>
    </row>
    <row r="29" spans="1:15" ht="25.5" x14ac:dyDescent="0.2">
      <c r="A29" s="155" t="s">
        <v>127</v>
      </c>
      <c r="B29" s="29"/>
      <c r="C29" s="29" t="s">
        <v>38</v>
      </c>
      <c r="D29" s="8" t="s">
        <v>32</v>
      </c>
      <c r="E29" s="30"/>
      <c r="F29" s="8" t="s">
        <v>47</v>
      </c>
      <c r="G29" s="29" t="s">
        <v>29</v>
      </c>
      <c r="H29" s="31" t="s">
        <v>44</v>
      </c>
      <c r="I29" s="29"/>
      <c r="J29" s="32" t="s">
        <v>184</v>
      </c>
      <c r="K29" s="100">
        <v>45776</v>
      </c>
      <c r="L29" s="168"/>
      <c r="M29" s="33"/>
      <c r="N29" s="33"/>
      <c r="O29" s="96"/>
    </row>
    <row r="30" spans="1:15" ht="25.5" x14ac:dyDescent="0.2">
      <c r="A30" s="155" t="s">
        <v>148</v>
      </c>
      <c r="B30" s="29"/>
      <c r="C30" s="29" t="s">
        <v>38</v>
      </c>
      <c r="D30" s="8" t="s">
        <v>32</v>
      </c>
      <c r="E30" s="30"/>
      <c r="F30" s="8" t="s">
        <v>89</v>
      </c>
      <c r="G30" s="29" t="s">
        <v>88</v>
      </c>
      <c r="H30" s="31" t="s">
        <v>44</v>
      </c>
      <c r="I30" s="29"/>
      <c r="J30" s="32"/>
      <c r="K30" s="100">
        <v>45707</v>
      </c>
      <c r="L30" s="168"/>
      <c r="M30" s="33"/>
      <c r="N30" s="33"/>
      <c r="O30" s="96"/>
    </row>
    <row r="31" spans="1:15" x14ac:dyDescent="0.2">
      <c r="A31" s="155" t="s">
        <v>149</v>
      </c>
      <c r="B31" s="29"/>
      <c r="C31" s="29" t="s">
        <v>38</v>
      </c>
      <c r="D31" s="8" t="s">
        <v>32</v>
      </c>
      <c r="E31" s="30"/>
      <c r="F31" s="8" t="s">
        <v>90</v>
      </c>
      <c r="G31" s="29" t="s">
        <v>91</v>
      </c>
      <c r="H31" s="31" t="s">
        <v>44</v>
      </c>
      <c r="I31" s="29"/>
      <c r="J31" s="32"/>
      <c r="K31" s="100">
        <v>45692</v>
      </c>
      <c r="L31" s="168"/>
      <c r="M31" s="33"/>
      <c r="N31" s="33"/>
      <c r="O31" s="96"/>
    </row>
    <row r="32" spans="1:15" x14ac:dyDescent="0.2">
      <c r="A32" s="155" t="s">
        <v>147</v>
      </c>
      <c r="B32" s="29"/>
      <c r="C32" s="29" t="s">
        <v>38</v>
      </c>
      <c r="D32" s="8" t="s">
        <v>32</v>
      </c>
      <c r="E32" s="30"/>
      <c r="F32" s="8" t="s">
        <v>85</v>
      </c>
      <c r="G32" s="29" t="s">
        <v>86</v>
      </c>
      <c r="H32" s="31" t="s">
        <v>44</v>
      </c>
      <c r="I32" s="29"/>
      <c r="J32" s="32"/>
      <c r="K32" s="100">
        <v>45706</v>
      </c>
      <c r="L32" s="168"/>
      <c r="M32" s="33"/>
      <c r="N32" s="33"/>
      <c r="O32" s="96"/>
    </row>
    <row r="33" spans="1:15" x14ac:dyDescent="0.2">
      <c r="A33" s="155" t="s">
        <v>150</v>
      </c>
      <c r="B33" s="29"/>
      <c r="C33" s="29" t="s">
        <v>38</v>
      </c>
      <c r="D33" s="8" t="s">
        <v>32</v>
      </c>
      <c r="E33" s="30"/>
      <c r="F33" s="8" t="s">
        <v>92</v>
      </c>
      <c r="G33" s="29" t="s">
        <v>72</v>
      </c>
      <c r="H33" s="31" t="s">
        <v>44</v>
      </c>
      <c r="I33" s="29"/>
      <c r="J33" s="32"/>
      <c r="K33" s="100">
        <v>45707</v>
      </c>
      <c r="L33" s="168"/>
      <c r="M33" s="33"/>
      <c r="N33" s="33"/>
      <c r="O33" s="96"/>
    </row>
    <row r="34" spans="1:15" x14ac:dyDescent="0.2">
      <c r="A34" s="155" t="s">
        <v>152</v>
      </c>
      <c r="B34" s="29"/>
      <c r="C34" s="29" t="s">
        <v>38</v>
      </c>
      <c r="D34" s="8" t="s">
        <v>32</v>
      </c>
      <c r="E34" s="30"/>
      <c r="F34" s="8" t="s">
        <v>94</v>
      </c>
      <c r="G34" s="29" t="s">
        <v>95</v>
      </c>
      <c r="H34" s="31" t="s">
        <v>44</v>
      </c>
      <c r="I34" s="29"/>
      <c r="J34" s="32"/>
      <c r="K34" s="100">
        <v>45901</v>
      </c>
      <c r="L34" s="168"/>
      <c r="M34" s="33"/>
      <c r="N34" s="33"/>
      <c r="O34" s="96"/>
    </row>
    <row r="35" spans="1:15" x14ac:dyDescent="0.2">
      <c r="A35" s="155" t="s">
        <v>154</v>
      </c>
      <c r="B35" s="29"/>
      <c r="C35" s="29" t="s">
        <v>38</v>
      </c>
      <c r="D35" s="8" t="s">
        <v>32</v>
      </c>
      <c r="E35" s="30"/>
      <c r="F35" s="8" t="s">
        <v>100</v>
      </c>
      <c r="G35" s="29" t="s">
        <v>101</v>
      </c>
      <c r="H35" s="31" t="s">
        <v>44</v>
      </c>
      <c r="I35" s="29"/>
      <c r="J35" s="32"/>
      <c r="K35" s="100">
        <v>45706</v>
      </c>
      <c r="L35" s="168"/>
      <c r="M35" s="33"/>
      <c r="N35" s="33"/>
      <c r="O35" s="96"/>
    </row>
    <row r="36" spans="1:15" ht="25.5" x14ac:dyDescent="0.2">
      <c r="A36" s="155" t="s">
        <v>144</v>
      </c>
      <c r="B36" s="29"/>
      <c r="C36" s="29" t="s">
        <v>38</v>
      </c>
      <c r="D36" s="8" t="s">
        <v>32</v>
      </c>
      <c r="E36" s="30"/>
      <c r="F36" s="8" t="s">
        <v>116</v>
      </c>
      <c r="G36" s="29" t="s">
        <v>81</v>
      </c>
      <c r="H36" s="31" t="s">
        <v>44</v>
      </c>
      <c r="I36" s="29"/>
      <c r="J36" s="32"/>
      <c r="K36" s="100">
        <v>45707</v>
      </c>
      <c r="L36" s="168"/>
      <c r="M36" s="33"/>
      <c r="N36" s="33"/>
      <c r="O36" s="96"/>
    </row>
    <row r="37" spans="1:15" x14ac:dyDescent="0.2">
      <c r="A37" s="155" t="s">
        <v>153</v>
      </c>
      <c r="B37" s="29"/>
      <c r="C37" s="29" t="s">
        <v>38</v>
      </c>
      <c r="D37" s="8" t="s">
        <v>32</v>
      </c>
      <c r="E37" s="30"/>
      <c r="F37" s="8" t="s">
        <v>96</v>
      </c>
      <c r="G37" s="29" t="s">
        <v>97</v>
      </c>
      <c r="H37" s="31" t="s">
        <v>44</v>
      </c>
      <c r="I37" s="29"/>
      <c r="J37" s="32"/>
      <c r="K37" s="100">
        <v>45722</v>
      </c>
      <c r="L37" s="168"/>
      <c r="M37" s="33"/>
      <c r="N37" s="33"/>
      <c r="O37" s="96"/>
    </row>
    <row r="38" spans="1:15" ht="25.5" x14ac:dyDescent="0.2">
      <c r="A38" s="155" t="s">
        <v>183</v>
      </c>
      <c r="B38" s="29"/>
      <c r="C38" s="29" t="s">
        <v>38</v>
      </c>
      <c r="D38" s="8" t="s">
        <v>32</v>
      </c>
      <c r="E38" s="30"/>
      <c r="F38" s="8" t="s">
        <v>114</v>
      </c>
      <c r="G38" s="29" t="s">
        <v>113</v>
      </c>
      <c r="H38" s="31" t="s">
        <v>44</v>
      </c>
      <c r="I38" s="29"/>
      <c r="J38" s="32"/>
      <c r="K38" s="100">
        <v>45757</v>
      </c>
      <c r="L38" s="168"/>
      <c r="M38" s="33"/>
      <c r="N38" s="33"/>
      <c r="O38" s="26"/>
    </row>
    <row r="39" spans="1:15" x14ac:dyDescent="0.2">
      <c r="A39" s="155" t="s">
        <v>182</v>
      </c>
      <c r="B39" s="29"/>
      <c r="C39" s="29" t="s">
        <v>38</v>
      </c>
      <c r="D39" s="8" t="s">
        <v>32</v>
      </c>
      <c r="E39" s="30"/>
      <c r="F39" s="8" t="s">
        <v>115</v>
      </c>
      <c r="G39" s="29" t="s">
        <v>113</v>
      </c>
      <c r="H39" s="31" t="s">
        <v>44</v>
      </c>
      <c r="I39" s="29"/>
      <c r="J39" s="32"/>
      <c r="K39" s="100">
        <v>45756</v>
      </c>
      <c r="L39" s="168"/>
      <c r="M39" s="33"/>
      <c r="N39" s="33"/>
      <c r="O39" s="26"/>
    </row>
    <row r="40" spans="1:15" ht="38.25" x14ac:dyDescent="0.2">
      <c r="A40" s="155" t="s">
        <v>192</v>
      </c>
      <c r="B40" s="29"/>
      <c r="C40" s="29" t="s">
        <v>38</v>
      </c>
      <c r="D40" s="8" t="s">
        <v>32</v>
      </c>
      <c r="E40" s="30"/>
      <c r="F40" s="8" t="s">
        <v>79</v>
      </c>
      <c r="G40" s="29" t="s">
        <v>78</v>
      </c>
      <c r="H40" s="31" t="s">
        <v>44</v>
      </c>
      <c r="I40" s="29"/>
      <c r="J40" s="32"/>
      <c r="K40" s="100">
        <v>45757</v>
      </c>
      <c r="L40" s="168"/>
      <c r="M40" s="33"/>
      <c r="N40" s="33"/>
      <c r="O40" s="26"/>
    </row>
    <row r="41" spans="1:15" ht="76.5" x14ac:dyDescent="0.2">
      <c r="A41" s="155" t="s">
        <v>193</v>
      </c>
      <c r="B41" s="29"/>
      <c r="C41" s="29" t="s">
        <v>38</v>
      </c>
      <c r="D41" s="8" t="s">
        <v>32</v>
      </c>
      <c r="E41" s="30"/>
      <c r="F41" s="8" t="s">
        <v>71</v>
      </c>
      <c r="G41" s="29" t="s">
        <v>72</v>
      </c>
      <c r="H41" s="31"/>
      <c r="I41" s="29"/>
      <c r="J41" s="32" t="s">
        <v>187</v>
      </c>
      <c r="K41" s="100">
        <v>45813</v>
      </c>
      <c r="L41" s="168"/>
      <c r="M41" s="33"/>
      <c r="N41" s="33"/>
      <c r="O41" s="96"/>
    </row>
    <row r="42" spans="1:15" ht="51" x14ac:dyDescent="0.2">
      <c r="A42" s="155" t="s">
        <v>194</v>
      </c>
      <c r="B42" s="29"/>
      <c r="C42" s="29" t="s">
        <v>38</v>
      </c>
      <c r="D42" s="8" t="s">
        <v>32</v>
      </c>
      <c r="E42" s="30"/>
      <c r="F42" s="79" t="s">
        <v>87</v>
      </c>
      <c r="G42" s="29" t="s">
        <v>86</v>
      </c>
      <c r="H42" s="31" t="s">
        <v>44</v>
      </c>
      <c r="I42" s="29"/>
      <c r="J42" s="32" t="s">
        <v>188</v>
      </c>
      <c r="K42" s="100">
        <v>45776</v>
      </c>
      <c r="L42" s="168"/>
      <c r="M42" s="33"/>
      <c r="N42" s="33"/>
      <c r="O42" s="26"/>
    </row>
    <row r="43" spans="1:15" ht="25.5" x14ac:dyDescent="0.2">
      <c r="A43" s="155" t="s">
        <v>195</v>
      </c>
      <c r="B43" s="29"/>
      <c r="C43" s="29" t="s">
        <v>38</v>
      </c>
      <c r="D43" s="8" t="s">
        <v>32</v>
      </c>
      <c r="E43" s="164"/>
      <c r="F43" s="77" t="s">
        <v>98</v>
      </c>
      <c r="G43" s="165" t="s">
        <v>99</v>
      </c>
      <c r="H43" s="31" t="s">
        <v>44</v>
      </c>
      <c r="I43" s="29"/>
      <c r="J43" s="32" t="s">
        <v>189</v>
      </c>
      <c r="K43" s="100">
        <v>45776</v>
      </c>
      <c r="L43" s="168"/>
      <c r="M43" s="33"/>
      <c r="N43" s="33"/>
      <c r="O43" s="26"/>
    </row>
    <row r="44" spans="1:15" ht="25.5" x14ac:dyDescent="0.2">
      <c r="A44" s="155" t="s">
        <v>268</v>
      </c>
      <c r="B44" s="29"/>
      <c r="C44" s="29" t="s">
        <v>256</v>
      </c>
      <c r="D44" s="8" t="s">
        <v>32</v>
      </c>
      <c r="E44" s="164"/>
      <c r="F44" s="166" t="s">
        <v>205</v>
      </c>
      <c r="G44" s="172" t="s">
        <v>168</v>
      </c>
      <c r="H44" s="173" t="s">
        <v>44</v>
      </c>
      <c r="I44" s="29"/>
      <c r="J44" s="32"/>
      <c r="K44" s="100">
        <v>45854</v>
      </c>
      <c r="L44" s="168"/>
      <c r="M44" s="33"/>
      <c r="N44" s="33"/>
      <c r="O44" s="96"/>
    </row>
    <row r="45" spans="1:15" ht="25.5" x14ac:dyDescent="0.2">
      <c r="A45" s="155" t="s">
        <v>266</v>
      </c>
      <c r="B45" s="29"/>
      <c r="C45" s="29" t="s">
        <v>256</v>
      </c>
      <c r="D45" s="8" t="s">
        <v>32</v>
      </c>
      <c r="E45" s="164"/>
      <c r="F45" s="166" t="s">
        <v>236</v>
      </c>
      <c r="G45" s="166" t="s">
        <v>254</v>
      </c>
      <c r="H45" s="167" t="s">
        <v>257</v>
      </c>
      <c r="I45" s="165"/>
      <c r="J45" s="32"/>
      <c r="K45" s="100">
        <v>45849</v>
      </c>
      <c r="L45" s="168"/>
      <c r="M45" s="33"/>
      <c r="N45" s="33"/>
      <c r="O45" s="96"/>
    </row>
    <row r="46" spans="1:15" ht="38.25" x14ac:dyDescent="0.2">
      <c r="A46" s="155" t="s">
        <v>263</v>
      </c>
      <c r="B46" s="29"/>
      <c r="C46" s="29" t="s">
        <v>256</v>
      </c>
      <c r="D46" s="8" t="s">
        <v>32</v>
      </c>
      <c r="E46" s="164"/>
      <c r="F46" s="167" t="s">
        <v>220</v>
      </c>
      <c r="G46" s="167" t="s">
        <v>63</v>
      </c>
      <c r="H46" s="167" t="s">
        <v>44</v>
      </c>
      <c r="I46" s="165"/>
      <c r="J46" s="32"/>
      <c r="K46" s="100">
        <v>45855</v>
      </c>
      <c r="L46" s="168"/>
      <c r="M46" s="33"/>
      <c r="N46" s="33"/>
      <c r="O46" s="96"/>
    </row>
    <row r="47" spans="1:15" ht="25.5" x14ac:dyDescent="0.2">
      <c r="A47" s="155" t="s">
        <v>261</v>
      </c>
      <c r="B47" s="29"/>
      <c r="C47" s="29" t="s">
        <v>256</v>
      </c>
      <c r="D47" s="8" t="s">
        <v>32</v>
      </c>
      <c r="E47" s="164"/>
      <c r="F47" s="167" t="s">
        <v>207</v>
      </c>
      <c r="G47" s="167" t="s">
        <v>241</v>
      </c>
      <c r="H47" s="166" t="s">
        <v>44</v>
      </c>
      <c r="I47" s="165"/>
      <c r="J47" s="32"/>
      <c r="K47" s="100">
        <v>45856</v>
      </c>
      <c r="L47" s="168"/>
      <c r="M47" s="33"/>
      <c r="N47" s="33"/>
      <c r="O47" s="96"/>
    </row>
    <row r="48" spans="1:15" ht="25.5" x14ac:dyDescent="0.2">
      <c r="A48" s="155" t="s">
        <v>272</v>
      </c>
      <c r="B48" s="29"/>
      <c r="C48" s="29" t="s">
        <v>256</v>
      </c>
      <c r="D48" s="8" t="s">
        <v>32</v>
      </c>
      <c r="E48" s="164"/>
      <c r="F48" s="166" t="s">
        <v>232</v>
      </c>
      <c r="G48" s="166" t="s">
        <v>251</v>
      </c>
      <c r="H48" s="166" t="s">
        <v>44</v>
      </c>
      <c r="I48" s="165"/>
      <c r="J48" s="32"/>
      <c r="K48" s="100">
        <v>45889</v>
      </c>
      <c r="L48" s="168"/>
      <c r="M48" s="33"/>
      <c r="N48" s="33"/>
      <c r="O48" s="26"/>
    </row>
    <row r="49" spans="1:15" ht="25.5" x14ac:dyDescent="0.2">
      <c r="A49" s="155" t="s">
        <v>293</v>
      </c>
      <c r="B49" s="29"/>
      <c r="C49" s="29" t="s">
        <v>256</v>
      </c>
      <c r="D49" s="8" t="s">
        <v>32</v>
      </c>
      <c r="E49" s="164"/>
      <c r="F49" s="166" t="s">
        <v>208</v>
      </c>
      <c r="G49" s="166" t="s">
        <v>242</v>
      </c>
      <c r="H49" s="167" t="s">
        <v>44</v>
      </c>
      <c r="I49" s="165"/>
      <c r="J49" s="32"/>
      <c r="K49" s="100">
        <v>45908</v>
      </c>
      <c r="L49" s="168"/>
      <c r="M49" s="33"/>
      <c r="N49" s="33"/>
      <c r="O49" s="26"/>
    </row>
    <row r="50" spans="1:15" ht="25.5" x14ac:dyDescent="0.2">
      <c r="A50" s="155" t="s">
        <v>304</v>
      </c>
      <c r="B50" s="29"/>
      <c r="C50" s="29" t="s">
        <v>256</v>
      </c>
      <c r="D50" s="8" t="s">
        <v>32</v>
      </c>
      <c r="E50" s="164"/>
      <c r="F50" s="167" t="s">
        <v>221</v>
      </c>
      <c r="G50" s="167" t="s">
        <v>104</v>
      </c>
      <c r="H50" s="167" t="s">
        <v>44</v>
      </c>
      <c r="I50" s="165"/>
      <c r="J50" s="32"/>
      <c r="K50" s="100">
        <v>45919</v>
      </c>
      <c r="L50" s="168"/>
      <c r="M50" s="33"/>
      <c r="N50" s="33"/>
      <c r="O50" s="26"/>
    </row>
    <row r="51" spans="1:15" ht="25.5" x14ac:dyDescent="0.2">
      <c r="A51" s="155" t="s">
        <v>303</v>
      </c>
      <c r="B51" s="29"/>
      <c r="C51" s="29" t="s">
        <v>256</v>
      </c>
      <c r="D51" s="8" t="s">
        <v>32</v>
      </c>
      <c r="E51" s="164"/>
      <c r="F51" s="167" t="s">
        <v>219</v>
      </c>
      <c r="G51" s="167" t="s">
        <v>81</v>
      </c>
      <c r="H51" s="167" t="s">
        <v>44</v>
      </c>
      <c r="I51" s="165"/>
      <c r="J51" s="32"/>
      <c r="K51" s="100">
        <v>45916</v>
      </c>
      <c r="L51" s="168"/>
      <c r="M51" s="33"/>
      <c r="N51" s="33"/>
      <c r="O51" s="26"/>
    </row>
    <row r="52" spans="1:15" ht="76.5" x14ac:dyDescent="0.2">
      <c r="A52" s="155" t="s">
        <v>311</v>
      </c>
      <c r="B52" s="29"/>
      <c r="C52" s="29" t="s">
        <v>38</v>
      </c>
      <c r="D52" s="8" t="s">
        <v>32</v>
      </c>
      <c r="E52" s="164"/>
      <c r="F52" s="77" t="s">
        <v>110</v>
      </c>
      <c r="G52" s="170" t="s">
        <v>60</v>
      </c>
      <c r="H52" s="171" t="s">
        <v>44</v>
      </c>
      <c r="I52" s="165"/>
      <c r="J52" s="32" t="s">
        <v>190</v>
      </c>
      <c r="K52" s="100"/>
      <c r="L52" s="168"/>
      <c r="M52" s="33"/>
      <c r="N52" s="33"/>
      <c r="O52" s="26"/>
    </row>
    <row r="53" spans="1:15" x14ac:dyDescent="0.2">
      <c r="A53" s="26"/>
      <c r="B53" s="26"/>
      <c r="C53" s="77"/>
      <c r="D53" s="102"/>
      <c r="E53" s="26"/>
      <c r="F53" s="26"/>
      <c r="G53" s="26"/>
      <c r="H53" s="102"/>
      <c r="I53" s="26"/>
      <c r="J53" s="26"/>
      <c r="K53" s="33"/>
      <c r="L53" s="26"/>
      <c r="M53" s="26"/>
      <c r="N53" s="26"/>
      <c r="O53" s="26"/>
    </row>
    <row r="54" spans="1:15" x14ac:dyDescent="0.2">
      <c r="A54" s="26"/>
      <c r="B54" s="26"/>
      <c r="C54" s="77"/>
      <c r="D54" s="102"/>
      <c r="E54" s="26"/>
      <c r="F54" s="26"/>
      <c r="G54" s="26"/>
      <c r="H54" s="102"/>
      <c r="I54" s="26"/>
      <c r="J54" s="26"/>
      <c r="K54" s="33"/>
      <c r="L54" s="26"/>
      <c r="M54" s="26"/>
      <c r="N54" s="26"/>
      <c r="O54" s="26"/>
    </row>
    <row r="55" spans="1:15" x14ac:dyDescent="0.2">
      <c r="A55" s="26"/>
      <c r="B55" s="26"/>
      <c r="C55" s="77"/>
      <c r="D55" s="102"/>
      <c r="E55" s="26"/>
      <c r="F55" s="26"/>
      <c r="G55" s="26"/>
      <c r="H55" s="102"/>
      <c r="I55" s="26"/>
      <c r="J55" s="26"/>
      <c r="K55" s="33"/>
      <c r="L55" s="26"/>
      <c r="M55" s="26"/>
      <c r="N55" s="26"/>
      <c r="O55" s="26"/>
    </row>
    <row r="56" spans="1:15" x14ac:dyDescent="0.2">
      <c r="A56" s="26"/>
      <c r="B56" s="26"/>
      <c r="C56" s="77"/>
      <c r="D56" s="102"/>
      <c r="E56" s="26"/>
      <c r="F56" s="26"/>
      <c r="G56" s="26"/>
      <c r="H56" s="102"/>
      <c r="I56" s="26"/>
      <c r="J56" s="26"/>
      <c r="K56" s="33"/>
      <c r="L56" s="26"/>
      <c r="M56" s="26"/>
      <c r="N56" s="26"/>
      <c r="O56" s="26"/>
    </row>
    <row r="57" spans="1:15" x14ac:dyDescent="0.2">
      <c r="A57" s="26"/>
      <c r="B57" s="26"/>
      <c r="C57" s="77"/>
      <c r="D57" s="103"/>
      <c r="E57" s="26"/>
      <c r="F57" s="26"/>
      <c r="G57" s="26"/>
      <c r="H57" s="103"/>
      <c r="I57" s="26"/>
      <c r="J57" s="26"/>
      <c r="K57" s="33"/>
      <c r="L57" s="26"/>
      <c r="M57" s="26"/>
      <c r="N57" s="26"/>
      <c r="O57" s="26"/>
    </row>
    <row r="58" spans="1:15" x14ac:dyDescent="0.2">
      <c r="A58" s="26"/>
      <c r="B58" s="26"/>
      <c r="C58" s="77"/>
      <c r="D58" s="103"/>
      <c r="E58" s="26"/>
      <c r="F58" s="26"/>
      <c r="G58" s="26"/>
      <c r="H58" s="103"/>
      <c r="I58" s="26"/>
      <c r="J58" s="26"/>
      <c r="K58" s="33"/>
      <c r="L58" s="26"/>
      <c r="M58" s="26"/>
      <c r="N58" s="26"/>
      <c r="O58" s="26"/>
    </row>
    <row r="59" spans="1:15" x14ac:dyDescent="0.2">
      <c r="A59" s="26"/>
      <c r="B59" s="26"/>
      <c r="C59" s="77"/>
      <c r="D59" s="103"/>
      <c r="E59" s="26"/>
      <c r="F59" s="26"/>
      <c r="G59" s="26"/>
      <c r="H59" s="103"/>
      <c r="I59" s="26"/>
      <c r="J59" s="26"/>
      <c r="K59" s="33"/>
      <c r="L59" s="26"/>
      <c r="M59" s="26"/>
      <c r="N59" s="26"/>
      <c r="O59" s="26"/>
    </row>
    <row r="60" spans="1:15" x14ac:dyDescent="0.2">
      <c r="A60" s="26"/>
      <c r="B60" s="26"/>
      <c r="C60" s="77"/>
      <c r="D60" s="103"/>
      <c r="E60" s="26"/>
      <c r="F60" s="26"/>
      <c r="G60" s="26"/>
      <c r="H60" s="103"/>
      <c r="I60" s="26"/>
      <c r="J60" s="26"/>
      <c r="K60" s="33"/>
      <c r="L60" s="26"/>
      <c r="M60" s="26"/>
      <c r="N60" s="26"/>
      <c r="O60" s="26"/>
    </row>
    <row r="61" spans="1:15" x14ac:dyDescent="0.2">
      <c r="A61" s="26"/>
      <c r="B61" s="26"/>
      <c r="C61" s="77"/>
      <c r="D61" s="103"/>
      <c r="E61" s="26"/>
      <c r="F61" s="26"/>
      <c r="G61" s="26"/>
      <c r="H61" s="103"/>
      <c r="I61" s="26"/>
      <c r="J61" s="26"/>
      <c r="K61" s="33"/>
      <c r="L61" s="26"/>
      <c r="M61" s="26"/>
      <c r="N61" s="26"/>
      <c r="O61" s="26"/>
    </row>
    <row r="62" spans="1:15" x14ac:dyDescent="0.2">
      <c r="A62" s="26"/>
      <c r="B62" s="26"/>
      <c r="C62" s="77"/>
      <c r="D62" s="103"/>
      <c r="E62" s="26"/>
      <c r="F62" s="26"/>
      <c r="G62" s="26"/>
      <c r="H62" s="103"/>
      <c r="I62" s="26"/>
      <c r="J62" s="26"/>
      <c r="K62" s="33"/>
      <c r="L62" s="26"/>
      <c r="M62" s="26"/>
      <c r="N62" s="26"/>
      <c r="O62" s="26"/>
    </row>
    <row r="63" spans="1:15" x14ac:dyDescent="0.2">
      <c r="A63" s="26"/>
      <c r="B63" s="26"/>
      <c r="C63" s="77"/>
      <c r="D63" s="103"/>
      <c r="E63" s="26"/>
      <c r="F63" s="26"/>
      <c r="G63" s="26"/>
      <c r="H63" s="103"/>
      <c r="I63" s="26"/>
      <c r="J63" s="26"/>
      <c r="K63" s="33"/>
      <c r="L63" s="26"/>
      <c r="M63" s="26"/>
      <c r="N63" s="26"/>
      <c r="O63" s="26"/>
    </row>
    <row r="64" spans="1:15" x14ac:dyDescent="0.2">
      <c r="A64" s="26"/>
      <c r="B64" s="26"/>
      <c r="C64" s="77"/>
      <c r="D64" s="103"/>
      <c r="E64" s="26"/>
      <c r="F64" s="26"/>
      <c r="G64" s="26"/>
      <c r="H64" s="103"/>
      <c r="I64" s="26"/>
      <c r="J64" s="26"/>
      <c r="K64" s="33"/>
      <c r="L64" s="26"/>
      <c r="M64" s="26"/>
      <c r="N64" s="26"/>
      <c r="O64" s="26"/>
    </row>
    <row r="65" spans="1:15" x14ac:dyDescent="0.2">
      <c r="A65" s="26"/>
      <c r="B65" s="26"/>
      <c r="C65" s="77"/>
      <c r="D65" s="103"/>
      <c r="E65" s="26"/>
      <c r="F65" s="26"/>
      <c r="G65" s="26"/>
      <c r="H65" s="103"/>
      <c r="I65" s="26"/>
      <c r="J65" s="26"/>
      <c r="K65" s="33"/>
      <c r="L65" s="26"/>
      <c r="M65" s="26"/>
      <c r="N65" s="26"/>
      <c r="O65" s="26"/>
    </row>
    <row r="66" spans="1:15" x14ac:dyDescent="0.2">
      <c r="A66" s="26"/>
      <c r="B66" s="26"/>
      <c r="C66" s="77"/>
      <c r="D66" s="103"/>
      <c r="E66" s="26"/>
      <c r="F66" s="26"/>
      <c r="G66" s="26"/>
      <c r="H66" s="103"/>
      <c r="I66" s="26"/>
      <c r="J66" s="26"/>
      <c r="K66" s="33"/>
      <c r="L66" s="26"/>
      <c r="M66" s="26"/>
      <c r="N66" s="26"/>
      <c r="O66" s="26"/>
    </row>
    <row r="67" spans="1:15" x14ac:dyDescent="0.2">
      <c r="A67" s="26"/>
      <c r="B67" s="26"/>
      <c r="C67" s="77"/>
      <c r="D67" s="103"/>
      <c r="E67" s="26"/>
      <c r="F67" s="26"/>
      <c r="G67" s="26"/>
      <c r="H67" s="103"/>
      <c r="I67" s="26"/>
      <c r="J67" s="26"/>
      <c r="K67" s="33"/>
      <c r="L67" s="26"/>
      <c r="M67" s="26"/>
      <c r="N67" s="26"/>
      <c r="O67" s="26"/>
    </row>
    <row r="68" spans="1:15" x14ac:dyDescent="0.2">
      <c r="A68" s="26"/>
      <c r="B68" s="26"/>
      <c r="C68" s="77"/>
      <c r="D68" s="103"/>
      <c r="E68" s="26"/>
      <c r="F68" s="26"/>
      <c r="G68" s="26"/>
      <c r="H68" s="103"/>
      <c r="I68" s="26"/>
      <c r="J68" s="26"/>
      <c r="K68" s="33"/>
      <c r="L68" s="26"/>
      <c r="M68" s="26"/>
      <c r="N68" s="26"/>
      <c r="O68" s="26"/>
    </row>
    <row r="69" spans="1:15" x14ac:dyDescent="0.2">
      <c r="A69" s="26"/>
      <c r="B69" s="26"/>
      <c r="C69" s="77"/>
      <c r="D69" s="103"/>
      <c r="E69" s="26"/>
      <c r="F69" s="26"/>
      <c r="G69" s="26"/>
      <c r="H69" s="103"/>
      <c r="I69" s="26"/>
      <c r="J69" s="26"/>
      <c r="K69" s="33"/>
      <c r="L69" s="26"/>
      <c r="M69" s="26"/>
      <c r="N69" s="26"/>
      <c r="O69" s="26"/>
    </row>
    <row r="70" spans="1:15" x14ac:dyDescent="0.2">
      <c r="A70" s="26"/>
      <c r="B70" s="26"/>
      <c r="C70" s="77"/>
      <c r="D70" s="103"/>
      <c r="E70" s="26"/>
      <c r="F70" s="26"/>
      <c r="G70" s="26"/>
      <c r="H70" s="103"/>
      <c r="I70" s="26"/>
      <c r="J70" s="26"/>
      <c r="K70" s="33"/>
      <c r="L70" s="26"/>
      <c r="M70" s="26"/>
      <c r="N70" s="26"/>
      <c r="O70" s="26"/>
    </row>
    <row r="71" spans="1:15" x14ac:dyDescent="0.2">
      <c r="A71" s="26"/>
      <c r="B71" s="26"/>
      <c r="C71" s="77"/>
      <c r="D71" s="103"/>
      <c r="E71" s="26"/>
      <c r="F71" s="26"/>
      <c r="G71" s="26"/>
      <c r="H71" s="103"/>
      <c r="I71" s="26"/>
      <c r="J71" s="26"/>
      <c r="K71" s="33"/>
      <c r="L71" s="26"/>
      <c r="M71" s="26"/>
      <c r="N71" s="26"/>
      <c r="O71" s="26"/>
    </row>
    <row r="72" spans="1:15" x14ac:dyDescent="0.2">
      <c r="A72" s="26"/>
      <c r="B72" s="26"/>
      <c r="C72" s="77"/>
      <c r="D72" s="103"/>
      <c r="E72" s="26"/>
      <c r="F72" s="26"/>
      <c r="G72" s="26"/>
      <c r="H72" s="103"/>
      <c r="I72" s="26"/>
      <c r="J72" s="26"/>
      <c r="K72" s="33"/>
      <c r="L72" s="26"/>
      <c r="M72" s="26"/>
      <c r="N72" s="26"/>
      <c r="O72" s="26"/>
    </row>
    <row r="73" spans="1:15" x14ac:dyDescent="0.2">
      <c r="A73" s="26"/>
      <c r="B73" s="26"/>
      <c r="C73" s="77"/>
      <c r="D73" s="103"/>
      <c r="E73" s="26"/>
      <c r="F73" s="26"/>
      <c r="G73" s="26"/>
      <c r="H73" s="103"/>
      <c r="I73" s="26"/>
      <c r="J73" s="26"/>
      <c r="K73" s="33"/>
      <c r="L73" s="26"/>
      <c r="M73" s="26"/>
      <c r="N73" s="26"/>
      <c r="O73" s="26"/>
    </row>
    <row r="74" spans="1:15" x14ac:dyDescent="0.2">
      <c r="A74" s="26"/>
      <c r="B74" s="26"/>
      <c r="C74" s="77"/>
      <c r="D74" s="103"/>
      <c r="E74" s="26"/>
      <c r="F74" s="26"/>
      <c r="G74" s="26"/>
      <c r="H74" s="103"/>
      <c r="I74" s="26"/>
      <c r="J74" s="26"/>
      <c r="K74" s="33"/>
      <c r="L74" s="26"/>
      <c r="M74" s="26"/>
      <c r="N74" s="26"/>
      <c r="O74" s="26"/>
    </row>
    <row r="75" spans="1:15" x14ac:dyDescent="0.2">
      <c r="A75" s="26"/>
      <c r="B75" s="26"/>
      <c r="C75" s="77"/>
      <c r="D75" s="103"/>
      <c r="E75" s="26"/>
      <c r="F75" s="26"/>
      <c r="G75" s="26"/>
      <c r="H75" s="103"/>
      <c r="I75" s="26"/>
      <c r="J75" s="26"/>
      <c r="K75" s="33"/>
      <c r="L75" s="26"/>
      <c r="M75" s="26"/>
      <c r="N75" s="26"/>
      <c r="O75" s="26"/>
    </row>
    <row r="76" spans="1:15" x14ac:dyDescent="0.2">
      <c r="A76" s="26"/>
      <c r="B76" s="26"/>
      <c r="C76" s="77"/>
      <c r="D76" s="103"/>
      <c r="E76" s="26"/>
      <c r="F76" s="26"/>
      <c r="G76" s="26"/>
      <c r="H76" s="103"/>
      <c r="I76" s="26"/>
      <c r="J76" s="26"/>
      <c r="K76" s="33"/>
      <c r="L76" s="26"/>
      <c r="M76" s="26"/>
      <c r="N76" s="26"/>
      <c r="O76" s="26"/>
    </row>
    <row r="77" spans="1:15" x14ac:dyDescent="0.2">
      <c r="A77" s="26"/>
      <c r="B77" s="26"/>
      <c r="C77" s="77"/>
      <c r="D77" s="103"/>
      <c r="E77" s="26"/>
      <c r="F77" s="26"/>
      <c r="G77" s="26"/>
      <c r="H77" s="103"/>
      <c r="I77" s="26"/>
      <c r="J77" s="26"/>
      <c r="K77" s="33"/>
      <c r="L77" s="26"/>
      <c r="M77" s="26"/>
      <c r="N77" s="26"/>
      <c r="O77" s="26"/>
    </row>
    <row r="78" spans="1:15" x14ac:dyDescent="0.2">
      <c r="A78" s="26"/>
      <c r="B78" s="26"/>
      <c r="C78" s="77"/>
      <c r="D78" s="103"/>
      <c r="E78" s="26"/>
      <c r="F78" s="26"/>
      <c r="G78" s="26"/>
      <c r="H78" s="103"/>
      <c r="I78" s="26"/>
      <c r="J78" s="26"/>
      <c r="K78" s="33"/>
      <c r="L78" s="26"/>
      <c r="M78" s="26"/>
      <c r="N78" s="26"/>
      <c r="O78" s="26"/>
    </row>
    <row r="79" spans="1:15" x14ac:dyDescent="0.2">
      <c r="A79" s="26"/>
      <c r="B79" s="26"/>
      <c r="C79" s="77"/>
      <c r="D79" s="103"/>
      <c r="E79" s="26"/>
      <c r="F79" s="26"/>
      <c r="G79" s="26"/>
      <c r="H79" s="103"/>
      <c r="I79" s="26"/>
      <c r="J79" s="26"/>
      <c r="K79" s="33"/>
      <c r="L79" s="26"/>
      <c r="M79" s="26"/>
      <c r="N79" s="26"/>
      <c r="O79" s="26"/>
    </row>
    <row r="80" spans="1:15" x14ac:dyDescent="0.2">
      <c r="A80" s="26"/>
      <c r="B80" s="26"/>
      <c r="C80" s="77"/>
      <c r="D80" s="103"/>
      <c r="E80" s="26"/>
      <c r="F80" s="26"/>
      <c r="G80" s="26"/>
      <c r="H80" s="103"/>
      <c r="I80" s="26"/>
      <c r="J80" s="26"/>
      <c r="K80" s="33"/>
      <c r="L80" s="26"/>
      <c r="M80" s="26"/>
      <c r="N80" s="26"/>
      <c r="O80" s="26"/>
    </row>
    <row r="81" spans="1:15" x14ac:dyDescent="0.2">
      <c r="A81" s="26"/>
      <c r="B81" s="26"/>
      <c r="C81" s="77"/>
      <c r="D81" s="103"/>
      <c r="E81" s="26"/>
      <c r="F81" s="26"/>
      <c r="G81" s="26"/>
      <c r="H81" s="103"/>
      <c r="I81" s="26"/>
      <c r="J81" s="26"/>
      <c r="K81" s="33"/>
      <c r="L81" s="26"/>
      <c r="M81" s="26"/>
      <c r="N81" s="26"/>
      <c r="O81" s="26"/>
    </row>
    <row r="82" spans="1:15" x14ac:dyDescent="0.2">
      <c r="A82" s="26"/>
      <c r="B82" s="26"/>
      <c r="C82" s="77"/>
      <c r="D82" s="103"/>
      <c r="E82" s="26"/>
      <c r="F82" s="26"/>
      <c r="G82" s="26"/>
      <c r="H82" s="103"/>
      <c r="I82" s="26"/>
      <c r="J82" s="26"/>
      <c r="K82" s="33"/>
      <c r="L82" s="26"/>
      <c r="M82" s="26"/>
      <c r="N82" s="26"/>
      <c r="O82" s="26"/>
    </row>
    <row r="83" spans="1:15" x14ac:dyDescent="0.2">
      <c r="A83" s="26"/>
      <c r="B83" s="26"/>
      <c r="C83" s="77"/>
      <c r="D83" s="103"/>
      <c r="E83" s="26"/>
      <c r="F83" s="26"/>
      <c r="G83" s="26"/>
      <c r="H83" s="103"/>
      <c r="I83" s="26"/>
      <c r="J83" s="26"/>
      <c r="K83" s="33"/>
      <c r="L83" s="26"/>
      <c r="M83" s="26"/>
      <c r="N83" s="26"/>
      <c r="O83" s="26"/>
    </row>
    <row r="84" spans="1:15" ht="15" x14ac:dyDescent="0.25">
      <c r="A84" s="26"/>
      <c r="B84" s="26"/>
      <c r="C84" s="77"/>
      <c r="D84" s="103"/>
      <c r="E84" s="26"/>
      <c r="F84" s="26"/>
      <c r="G84" s="26"/>
      <c r="H84" s="109"/>
      <c r="I84" s="26"/>
      <c r="J84" s="26"/>
      <c r="K84" s="33"/>
      <c r="L84" s="26"/>
      <c r="M84" s="26"/>
      <c r="N84" s="26"/>
      <c r="O84" s="26"/>
    </row>
    <row r="85" spans="1:15" x14ac:dyDescent="0.2">
      <c r="A85" s="26"/>
      <c r="B85" s="26"/>
      <c r="C85" s="77"/>
      <c r="D85" s="103"/>
      <c r="E85" s="26"/>
      <c r="F85" s="26"/>
      <c r="G85" s="26"/>
      <c r="H85" s="103"/>
      <c r="I85" s="26"/>
      <c r="J85" s="26"/>
      <c r="K85" s="33"/>
      <c r="L85" s="26"/>
      <c r="M85" s="26"/>
      <c r="N85" s="26"/>
      <c r="O85" s="26"/>
    </row>
    <row r="86" spans="1:15" ht="15" x14ac:dyDescent="0.25">
      <c r="A86" s="26"/>
      <c r="B86" s="26"/>
      <c r="C86" s="77"/>
      <c r="D86" s="103"/>
      <c r="E86" s="26"/>
      <c r="F86" s="26"/>
      <c r="G86" s="26"/>
      <c r="H86" s="109"/>
      <c r="I86" s="26"/>
      <c r="J86" s="26"/>
      <c r="K86" s="33"/>
      <c r="L86" s="26"/>
      <c r="M86" s="26"/>
      <c r="N86" s="26"/>
      <c r="O86" s="26"/>
    </row>
    <row r="87" spans="1:15" ht="15" x14ac:dyDescent="0.25">
      <c r="A87" s="26"/>
      <c r="B87" s="26"/>
      <c r="C87" s="77"/>
      <c r="D87" s="103"/>
      <c r="E87" s="26"/>
      <c r="F87" s="26"/>
      <c r="G87" s="26"/>
      <c r="H87" s="109"/>
      <c r="I87" s="26"/>
      <c r="J87" s="26"/>
      <c r="K87" s="33"/>
      <c r="L87" s="26"/>
      <c r="M87" s="26"/>
      <c r="N87" s="26"/>
      <c r="O87" s="26"/>
    </row>
    <row r="88" spans="1:15" x14ac:dyDescent="0.2">
      <c r="A88" s="26"/>
      <c r="B88" s="26"/>
      <c r="C88" s="77"/>
      <c r="D88" s="103"/>
      <c r="E88" s="26"/>
      <c r="F88" s="26"/>
      <c r="G88" s="26"/>
      <c r="H88" s="103"/>
      <c r="I88" s="26"/>
      <c r="J88" s="26"/>
      <c r="K88" s="33"/>
      <c r="L88" s="26"/>
      <c r="M88" s="26"/>
      <c r="N88" s="26"/>
      <c r="O88" s="26"/>
    </row>
    <row r="89" spans="1:15" x14ac:dyDescent="0.2">
      <c r="A89" s="26"/>
      <c r="B89" s="26"/>
      <c r="C89" s="77"/>
      <c r="D89" s="103"/>
      <c r="E89" s="26"/>
      <c r="F89" s="26"/>
      <c r="G89" s="26"/>
      <c r="H89" s="103"/>
      <c r="I89" s="26"/>
      <c r="J89" s="26"/>
      <c r="K89" s="33"/>
      <c r="L89" s="26"/>
      <c r="M89" s="26"/>
      <c r="N89" s="26"/>
      <c r="O89" s="26"/>
    </row>
    <row r="90" spans="1:15" x14ac:dyDescent="0.2">
      <c r="A90" s="26"/>
      <c r="B90" s="26"/>
      <c r="C90" s="77"/>
      <c r="D90" s="103"/>
      <c r="E90" s="26"/>
      <c r="F90" s="26"/>
      <c r="G90" s="26"/>
      <c r="H90" s="103"/>
      <c r="I90" s="26"/>
      <c r="J90" s="26"/>
      <c r="K90" s="33"/>
      <c r="L90" s="26"/>
      <c r="M90" s="26"/>
      <c r="N90" s="26"/>
      <c r="O90" s="26"/>
    </row>
    <row r="91" spans="1:15" x14ac:dyDescent="0.2">
      <c r="A91" s="26"/>
      <c r="B91" s="26"/>
      <c r="C91" s="77"/>
      <c r="D91" s="103"/>
      <c r="E91" s="26"/>
      <c r="F91" s="26"/>
      <c r="G91" s="26"/>
      <c r="H91" s="103"/>
      <c r="I91" s="26"/>
      <c r="J91" s="26"/>
      <c r="K91" s="33"/>
      <c r="L91" s="26"/>
      <c r="M91" s="26"/>
      <c r="N91" s="26"/>
      <c r="O91" s="26"/>
    </row>
    <row r="92" spans="1:15" x14ac:dyDescent="0.2">
      <c r="A92" s="26"/>
      <c r="B92" s="26"/>
      <c r="C92" s="77"/>
      <c r="D92" s="103"/>
      <c r="E92" s="26"/>
      <c r="F92" s="26"/>
      <c r="G92" s="26"/>
      <c r="H92" s="103"/>
      <c r="I92" s="26"/>
      <c r="J92" s="26"/>
      <c r="K92" s="33"/>
      <c r="L92" s="26"/>
      <c r="M92" s="26"/>
      <c r="N92" s="26"/>
      <c r="O92" s="26"/>
    </row>
    <row r="93" spans="1:15" x14ac:dyDescent="0.2">
      <c r="A93" s="26"/>
      <c r="B93" s="26"/>
      <c r="C93" s="77"/>
      <c r="D93" s="103"/>
      <c r="E93" s="26"/>
      <c r="F93" s="26"/>
      <c r="G93" s="26"/>
      <c r="H93" s="103"/>
      <c r="I93" s="26"/>
      <c r="J93" s="26"/>
      <c r="K93" s="33"/>
      <c r="L93" s="26"/>
      <c r="M93" s="26"/>
      <c r="N93" s="26"/>
      <c r="O93" s="26"/>
    </row>
    <row r="94" spans="1:15" x14ac:dyDescent="0.2">
      <c r="A94" s="26"/>
      <c r="B94" s="26"/>
      <c r="C94" s="77"/>
      <c r="D94" s="103"/>
      <c r="E94" s="26"/>
      <c r="F94" s="26"/>
      <c r="G94" s="26"/>
      <c r="H94" s="103"/>
      <c r="I94" s="26"/>
      <c r="J94" s="26"/>
      <c r="K94" s="33"/>
      <c r="L94" s="26"/>
      <c r="M94" s="26"/>
      <c r="N94" s="26"/>
      <c r="O94" s="26"/>
    </row>
    <row r="95" spans="1:15" x14ac:dyDescent="0.2">
      <c r="A95" s="26"/>
      <c r="B95" s="26"/>
      <c r="C95" s="77"/>
      <c r="D95" s="103"/>
      <c r="E95" s="26"/>
      <c r="F95" s="26"/>
      <c r="G95" s="26"/>
      <c r="H95" s="103"/>
      <c r="I95" s="26"/>
      <c r="J95" s="26"/>
      <c r="K95" s="33"/>
      <c r="L95" s="26"/>
      <c r="M95" s="26"/>
      <c r="N95" s="26"/>
      <c r="O95" s="26"/>
    </row>
    <row r="96" spans="1:15" x14ac:dyDescent="0.2">
      <c r="A96" s="26"/>
      <c r="B96" s="26"/>
      <c r="C96" s="77"/>
      <c r="D96" s="103"/>
      <c r="E96" s="26"/>
      <c r="F96" s="26"/>
      <c r="G96" s="26"/>
      <c r="H96" s="103"/>
      <c r="I96" s="26"/>
      <c r="J96" s="26"/>
      <c r="K96" s="33"/>
      <c r="L96" s="26"/>
      <c r="M96" s="26"/>
      <c r="N96" s="26"/>
      <c r="O96" s="26"/>
    </row>
    <row r="97" spans="1:15" x14ac:dyDescent="0.2">
      <c r="A97" s="26"/>
      <c r="B97" s="26"/>
      <c r="C97" s="77"/>
      <c r="D97" s="103"/>
      <c r="E97" s="26"/>
      <c r="F97" s="26"/>
      <c r="G97" s="26"/>
      <c r="H97" s="103"/>
      <c r="I97" s="26"/>
      <c r="J97" s="26"/>
      <c r="K97" s="33"/>
      <c r="L97" s="26"/>
      <c r="M97" s="26"/>
      <c r="N97" s="26"/>
      <c r="O97" s="26"/>
    </row>
    <row r="98" spans="1:15" x14ac:dyDescent="0.2">
      <c r="A98" s="26"/>
      <c r="B98" s="26"/>
      <c r="C98" s="77"/>
      <c r="D98" s="103"/>
      <c r="E98" s="26"/>
      <c r="F98" s="26"/>
      <c r="G98" s="26"/>
      <c r="H98" s="103"/>
      <c r="I98" s="26"/>
      <c r="J98" s="26"/>
      <c r="K98" s="33"/>
      <c r="L98" s="26"/>
      <c r="M98" s="26"/>
      <c r="N98" s="26"/>
      <c r="O98" s="26"/>
    </row>
    <row r="99" spans="1:15" x14ac:dyDescent="0.2">
      <c r="A99" s="26"/>
      <c r="B99" s="26"/>
      <c r="C99" s="77"/>
      <c r="D99" s="103"/>
      <c r="E99" s="26"/>
      <c r="F99" s="26"/>
      <c r="G99" s="26"/>
      <c r="H99" s="103"/>
      <c r="I99" s="26"/>
      <c r="J99" s="26"/>
      <c r="K99" s="33"/>
      <c r="L99" s="26"/>
      <c r="M99" s="26"/>
      <c r="N99" s="26"/>
      <c r="O99" s="26"/>
    </row>
    <row r="100" spans="1:15" x14ac:dyDescent="0.2">
      <c r="A100" s="26"/>
      <c r="B100" s="26"/>
      <c r="C100" s="77"/>
      <c r="D100" s="103"/>
      <c r="E100" s="26"/>
      <c r="F100" s="26"/>
      <c r="G100" s="26"/>
      <c r="H100" s="103"/>
      <c r="I100" s="26"/>
      <c r="J100" s="26"/>
      <c r="K100" s="33"/>
      <c r="L100" s="26"/>
      <c r="M100" s="26"/>
      <c r="N100" s="26"/>
      <c r="O100" s="26"/>
    </row>
    <row r="101" spans="1:15" x14ac:dyDescent="0.2">
      <c r="A101" s="26"/>
      <c r="B101" s="26"/>
      <c r="C101" s="77"/>
      <c r="D101" s="103"/>
      <c r="E101" s="26"/>
      <c r="F101" s="26"/>
      <c r="G101" s="26"/>
      <c r="H101" s="103"/>
      <c r="I101" s="26"/>
      <c r="J101" s="26"/>
      <c r="K101" s="33"/>
      <c r="L101" s="26"/>
      <c r="M101" s="26"/>
      <c r="N101" s="26"/>
      <c r="O101" s="26"/>
    </row>
    <row r="102" spans="1:15" x14ac:dyDescent="0.2">
      <c r="A102" s="12"/>
      <c r="B102" s="77"/>
      <c r="C102" s="77"/>
      <c r="D102" s="77"/>
      <c r="E102" s="80"/>
      <c r="F102" s="77"/>
      <c r="G102" s="38"/>
      <c r="H102" s="77"/>
      <c r="I102" s="77"/>
      <c r="J102" s="77"/>
      <c r="K102" s="33"/>
      <c r="L102" s="82"/>
      <c r="M102" s="12"/>
      <c r="N102" s="33"/>
      <c r="O102" s="26"/>
    </row>
    <row r="103" spans="1:15" x14ac:dyDescent="0.2">
      <c r="A103" s="84"/>
      <c r="B103" s="85"/>
      <c r="C103" s="85"/>
      <c r="D103" s="85"/>
      <c r="E103" s="86"/>
      <c r="F103" s="85"/>
      <c r="G103" s="87"/>
      <c r="H103" s="77"/>
      <c r="I103" s="85"/>
      <c r="J103" s="85"/>
      <c r="K103" s="89"/>
      <c r="L103" s="90"/>
      <c r="M103" s="84"/>
      <c r="N103" s="89"/>
      <c r="O103" s="91"/>
    </row>
    <row r="104" spans="1:15" x14ac:dyDescent="0.2">
      <c r="A104" s="12"/>
      <c r="B104" s="77"/>
      <c r="C104" s="77"/>
      <c r="D104" s="77"/>
      <c r="E104" s="80"/>
      <c r="F104" s="77"/>
      <c r="G104" s="38"/>
      <c r="H104" s="77"/>
      <c r="I104" s="77"/>
      <c r="J104" s="77"/>
      <c r="K104" s="33"/>
      <c r="L104" s="82"/>
      <c r="M104" s="12"/>
      <c r="N104" s="33"/>
      <c r="O104" s="26"/>
    </row>
    <row r="105" spans="1:15" x14ac:dyDescent="0.2">
      <c r="A105" s="12"/>
      <c r="B105" s="77"/>
      <c r="C105" s="77"/>
      <c r="D105" s="77"/>
      <c r="E105" s="80"/>
      <c r="F105" s="77"/>
      <c r="G105" s="38"/>
      <c r="H105" s="77"/>
      <c r="I105" s="77"/>
      <c r="J105" s="77"/>
      <c r="K105" s="33"/>
      <c r="L105" s="82"/>
      <c r="M105" s="33"/>
      <c r="N105" s="33"/>
      <c r="O105" s="26"/>
    </row>
    <row r="106" spans="1:15" x14ac:dyDescent="0.2">
      <c r="A106" s="12"/>
      <c r="B106" s="77"/>
      <c r="C106" s="77"/>
      <c r="D106" s="77"/>
      <c r="E106" s="80"/>
      <c r="F106" s="77"/>
      <c r="G106" s="38"/>
      <c r="H106" s="77"/>
      <c r="I106" s="77"/>
      <c r="J106" s="77"/>
      <c r="K106" s="33"/>
      <c r="L106" s="82"/>
      <c r="M106" s="12"/>
      <c r="N106" s="33"/>
      <c r="O106" s="26"/>
    </row>
    <row r="107" spans="1:15" x14ac:dyDescent="0.2">
      <c r="A107" s="12"/>
      <c r="B107" s="77"/>
      <c r="C107" s="77"/>
      <c r="D107" s="77"/>
      <c r="E107" s="80"/>
      <c r="F107" s="77"/>
      <c r="G107" s="38"/>
      <c r="H107" s="77"/>
      <c r="I107" s="77"/>
      <c r="J107" s="77"/>
      <c r="K107" s="33"/>
      <c r="L107" s="82"/>
      <c r="M107" s="12"/>
      <c r="N107" s="33"/>
      <c r="O107" s="26"/>
    </row>
    <row r="108" spans="1:15" x14ac:dyDescent="0.2">
      <c r="A108" s="12"/>
      <c r="B108" s="77"/>
      <c r="C108" s="77"/>
      <c r="D108" s="77"/>
      <c r="E108" s="80"/>
      <c r="F108" s="77"/>
      <c r="G108" s="38"/>
      <c r="H108" s="77"/>
      <c r="I108" s="77"/>
      <c r="J108" s="77"/>
      <c r="K108" s="33"/>
      <c r="L108" s="82"/>
      <c r="M108" s="12"/>
      <c r="N108" s="33"/>
      <c r="O108" s="26"/>
    </row>
    <row r="109" spans="1:15" x14ac:dyDescent="0.2">
      <c r="A109" s="12"/>
      <c r="B109" s="77"/>
      <c r="C109" s="77"/>
      <c r="D109" s="77"/>
      <c r="E109" s="80"/>
      <c r="F109" s="77"/>
      <c r="G109" s="38"/>
      <c r="H109" s="77"/>
      <c r="I109" s="77"/>
      <c r="J109" s="77"/>
      <c r="K109" s="33"/>
      <c r="L109" s="82"/>
      <c r="M109" s="12"/>
      <c r="N109" s="33"/>
      <c r="O109" s="26"/>
    </row>
    <row r="110" spans="1:15" x14ac:dyDescent="0.2">
      <c r="A110" s="12"/>
      <c r="B110" s="77"/>
      <c r="C110" s="77"/>
      <c r="D110" s="77"/>
      <c r="E110" s="80"/>
      <c r="F110" s="77"/>
      <c r="G110" s="38"/>
      <c r="H110" s="77"/>
      <c r="I110" s="77"/>
      <c r="J110" s="77"/>
      <c r="K110" s="33"/>
      <c r="L110" s="82"/>
      <c r="M110" s="12"/>
      <c r="N110" s="33"/>
      <c r="O110" s="26"/>
    </row>
    <row r="111" spans="1:15" x14ac:dyDescent="0.2">
      <c r="A111" s="12"/>
      <c r="B111" s="77"/>
      <c r="C111" s="77"/>
      <c r="D111" s="77"/>
      <c r="E111" s="80"/>
      <c r="F111" s="77"/>
      <c r="G111" s="38"/>
      <c r="H111" s="77"/>
      <c r="I111" s="77"/>
      <c r="J111" s="77"/>
      <c r="K111" s="33"/>
      <c r="L111" s="82"/>
      <c r="M111" s="12"/>
      <c r="N111" s="33"/>
      <c r="O111" s="26"/>
    </row>
    <row r="112" spans="1:15" x14ac:dyDescent="0.2">
      <c r="A112" s="12"/>
      <c r="B112" s="77"/>
      <c r="C112" s="77"/>
      <c r="D112" s="77"/>
      <c r="E112" s="80"/>
      <c r="F112" s="77"/>
      <c r="G112" s="38"/>
      <c r="H112" s="77"/>
      <c r="I112" s="77"/>
      <c r="J112" s="77"/>
      <c r="K112" s="33"/>
      <c r="L112" s="82"/>
      <c r="M112" s="12"/>
      <c r="N112" s="33"/>
      <c r="O112" s="26"/>
    </row>
    <row r="113" spans="1:15" x14ac:dyDescent="0.2">
      <c r="A113" s="12"/>
      <c r="B113" s="77"/>
      <c r="C113" s="77"/>
      <c r="D113" s="77"/>
      <c r="E113" s="80"/>
      <c r="F113" s="77"/>
      <c r="G113" s="38"/>
      <c r="H113" s="77"/>
      <c r="I113" s="77"/>
      <c r="J113" s="77"/>
      <c r="K113" s="33"/>
      <c r="L113" s="82"/>
      <c r="M113" s="12"/>
      <c r="N113" s="33"/>
      <c r="O113" s="26"/>
    </row>
    <row r="114" spans="1:15" x14ac:dyDescent="0.2">
      <c r="A114" s="12"/>
      <c r="B114" s="77"/>
      <c r="C114" s="77"/>
      <c r="D114" s="77"/>
      <c r="E114" s="80"/>
      <c r="F114" s="77"/>
      <c r="G114" s="38"/>
      <c r="H114" s="77"/>
      <c r="I114" s="77"/>
      <c r="J114" s="77"/>
      <c r="K114" s="33"/>
      <c r="L114" s="82"/>
      <c r="M114" s="12"/>
      <c r="N114" s="33"/>
      <c r="O114" s="26"/>
    </row>
    <row r="115" spans="1:15" x14ac:dyDescent="0.2">
      <c r="A115" s="12"/>
      <c r="B115" s="77"/>
      <c r="C115" s="77"/>
      <c r="D115" s="77"/>
      <c r="E115" s="80"/>
      <c r="F115" s="77"/>
      <c r="G115" s="38"/>
      <c r="H115" s="77"/>
      <c r="I115" s="77"/>
      <c r="J115" s="77"/>
      <c r="K115" s="33"/>
      <c r="L115" s="82"/>
      <c r="M115" s="12"/>
      <c r="N115" s="33"/>
      <c r="O115" s="26"/>
    </row>
    <row r="116" spans="1:15" x14ac:dyDescent="0.2">
      <c r="A116" s="12"/>
      <c r="B116" s="77"/>
      <c r="C116" s="77"/>
      <c r="D116" s="77"/>
      <c r="E116" s="80"/>
      <c r="F116" s="77"/>
      <c r="G116" s="38"/>
      <c r="H116" s="77"/>
      <c r="I116" s="77"/>
      <c r="J116" s="77"/>
      <c r="K116" s="33"/>
      <c r="L116" s="82"/>
      <c r="M116" s="12"/>
      <c r="N116" s="33"/>
      <c r="O116" s="26"/>
    </row>
    <row r="117" spans="1:15" x14ac:dyDescent="0.2">
      <c r="A117" s="12"/>
      <c r="B117" s="77"/>
      <c r="C117" s="77"/>
      <c r="D117" s="77"/>
      <c r="E117" s="80"/>
      <c r="F117" s="77"/>
      <c r="G117" s="38"/>
      <c r="H117" s="77"/>
      <c r="I117" s="77"/>
      <c r="J117" s="77"/>
      <c r="K117" s="33"/>
      <c r="L117" s="82"/>
      <c r="M117" s="12"/>
      <c r="N117" s="33"/>
      <c r="O117" s="26"/>
    </row>
    <row r="118" spans="1:15" x14ac:dyDescent="0.2">
      <c r="A118" s="12"/>
      <c r="B118" s="77"/>
      <c r="C118" s="77"/>
      <c r="D118" s="77"/>
      <c r="E118" s="80"/>
      <c r="F118" s="77"/>
      <c r="G118" s="38"/>
      <c r="H118" s="77"/>
      <c r="I118" s="77"/>
      <c r="J118" s="77"/>
      <c r="K118" s="33"/>
      <c r="L118" s="82"/>
      <c r="M118" s="12"/>
      <c r="N118" s="33"/>
      <c r="O118" s="26"/>
    </row>
    <row r="119" spans="1:15" x14ac:dyDescent="0.2">
      <c r="A119" s="12"/>
      <c r="B119" s="77"/>
      <c r="C119" s="77"/>
      <c r="D119" s="77"/>
      <c r="E119" s="80"/>
      <c r="F119" s="77"/>
      <c r="G119" s="38"/>
      <c r="H119" s="77"/>
      <c r="I119" s="77"/>
      <c r="J119" s="77"/>
      <c r="K119" s="33"/>
      <c r="L119" s="82"/>
      <c r="M119" s="12"/>
      <c r="N119" s="33"/>
      <c r="O119" s="26"/>
    </row>
    <row r="120" spans="1:15" x14ac:dyDescent="0.2">
      <c r="A120" s="12"/>
      <c r="B120" s="77"/>
      <c r="C120" s="77"/>
      <c r="D120" s="77"/>
      <c r="E120" s="80"/>
      <c r="F120" s="77"/>
      <c r="G120" s="38"/>
      <c r="H120" s="77"/>
      <c r="I120" s="77"/>
      <c r="J120" s="77"/>
      <c r="K120" s="33"/>
      <c r="L120" s="82"/>
      <c r="M120" s="12"/>
      <c r="N120" s="33"/>
      <c r="O120" s="26"/>
    </row>
    <row r="121" spans="1:15" x14ac:dyDescent="0.2">
      <c r="A121" s="12"/>
      <c r="B121" s="77"/>
      <c r="C121" s="77"/>
      <c r="D121" s="77"/>
      <c r="E121" s="80"/>
      <c r="F121" s="77"/>
      <c r="G121" s="38"/>
      <c r="H121" s="77"/>
      <c r="I121" s="77"/>
      <c r="J121" s="77"/>
      <c r="K121" s="33"/>
      <c r="L121" s="82"/>
      <c r="M121" s="12"/>
      <c r="N121" s="33"/>
      <c r="O121" s="26"/>
    </row>
    <row r="122" spans="1:15" x14ac:dyDescent="0.2">
      <c r="A122" s="12"/>
      <c r="B122" s="77"/>
      <c r="C122" s="77"/>
      <c r="D122" s="77"/>
      <c r="E122" s="80"/>
      <c r="F122" s="77"/>
      <c r="G122" s="38"/>
      <c r="H122" s="77"/>
      <c r="I122" s="77"/>
      <c r="J122" s="77"/>
      <c r="K122" s="33"/>
      <c r="L122" s="82"/>
      <c r="M122" s="12"/>
      <c r="N122" s="33"/>
      <c r="O122" s="26"/>
    </row>
    <row r="123" spans="1:15" x14ac:dyDescent="0.2">
      <c r="A123" s="12"/>
      <c r="B123" s="77"/>
      <c r="C123" s="77"/>
      <c r="D123" s="77"/>
      <c r="E123" s="80"/>
      <c r="F123" s="77"/>
      <c r="G123" s="38"/>
      <c r="H123" s="77"/>
      <c r="I123" s="77"/>
      <c r="J123" s="77"/>
      <c r="K123" s="33"/>
      <c r="L123" s="82"/>
      <c r="M123" s="12"/>
      <c r="N123" s="33"/>
      <c r="O123" s="26"/>
    </row>
    <row r="124" spans="1:15" x14ac:dyDescent="0.2">
      <c r="A124" s="12"/>
      <c r="B124" s="77"/>
      <c r="C124" s="77"/>
      <c r="D124" s="77"/>
      <c r="E124" s="80"/>
      <c r="F124" s="77"/>
      <c r="G124" s="38"/>
      <c r="H124" s="77"/>
      <c r="I124" s="77"/>
      <c r="J124" s="77"/>
      <c r="K124" s="33"/>
      <c r="L124" s="82"/>
      <c r="M124" s="12"/>
      <c r="N124" s="33"/>
      <c r="O124" s="26"/>
    </row>
    <row r="125" spans="1:15" x14ac:dyDescent="0.2">
      <c r="A125" s="12"/>
      <c r="B125" s="77"/>
      <c r="C125" s="77"/>
      <c r="D125" s="77"/>
      <c r="E125" s="80"/>
      <c r="F125" s="77"/>
      <c r="G125" s="38"/>
      <c r="H125" s="77"/>
      <c r="I125" s="77"/>
      <c r="J125" s="77"/>
      <c r="K125" s="33"/>
      <c r="L125" s="82"/>
      <c r="M125" s="12"/>
      <c r="N125" s="33"/>
      <c r="O125" s="26"/>
    </row>
    <row r="126" spans="1:15" x14ac:dyDescent="0.2">
      <c r="A126" s="12"/>
      <c r="B126" s="77"/>
      <c r="C126" s="77"/>
      <c r="D126" s="77"/>
      <c r="E126" s="80"/>
      <c r="F126" s="77"/>
      <c r="G126" s="38"/>
      <c r="H126" s="77"/>
      <c r="I126" s="77"/>
      <c r="J126" s="77"/>
      <c r="K126" s="33"/>
      <c r="L126" s="82"/>
      <c r="M126" s="12"/>
      <c r="N126" s="33"/>
      <c r="O126" s="26"/>
    </row>
    <row r="127" spans="1:15" x14ac:dyDescent="0.2">
      <c r="A127" s="12"/>
      <c r="B127" s="77"/>
      <c r="C127" s="77"/>
      <c r="D127" s="77"/>
      <c r="E127" s="80"/>
      <c r="F127" s="77"/>
      <c r="G127" s="38"/>
      <c r="H127" s="77"/>
      <c r="I127" s="77"/>
      <c r="J127" s="77"/>
      <c r="K127" s="33"/>
      <c r="L127" s="82"/>
      <c r="M127" s="12"/>
      <c r="N127" s="33"/>
      <c r="O127" s="26"/>
    </row>
    <row r="128" spans="1:15" x14ac:dyDescent="0.2">
      <c r="A128" s="12"/>
      <c r="B128" s="77"/>
      <c r="C128" s="77"/>
      <c r="D128" s="77"/>
      <c r="E128" s="80"/>
      <c r="F128" s="77"/>
      <c r="G128" s="38"/>
      <c r="H128" s="77"/>
      <c r="I128" s="77"/>
      <c r="J128" s="77"/>
      <c r="K128" s="33"/>
      <c r="L128" s="82"/>
      <c r="M128" s="12"/>
      <c r="N128" s="33"/>
      <c r="O128" s="26"/>
    </row>
    <row r="129" spans="1:15" x14ac:dyDescent="0.2">
      <c r="A129" s="12"/>
      <c r="B129" s="77"/>
      <c r="C129" s="77"/>
      <c r="D129" s="77"/>
      <c r="E129" s="80"/>
      <c r="F129" s="77"/>
      <c r="G129" s="38"/>
      <c r="H129" s="77"/>
      <c r="I129" s="77"/>
      <c r="J129" s="77"/>
      <c r="K129" s="33"/>
      <c r="L129" s="82"/>
      <c r="M129" s="12"/>
      <c r="N129" s="33"/>
      <c r="O129" s="26"/>
    </row>
    <row r="130" spans="1:15" x14ac:dyDescent="0.2">
      <c r="A130" s="12"/>
      <c r="B130" s="77"/>
      <c r="C130" s="77"/>
      <c r="D130" s="77"/>
      <c r="E130" s="80"/>
      <c r="F130" s="77"/>
      <c r="G130" s="38"/>
      <c r="H130" s="77"/>
      <c r="I130" s="77"/>
      <c r="J130" s="77"/>
      <c r="K130" s="33"/>
      <c r="L130" s="82"/>
      <c r="M130" s="12"/>
      <c r="N130" s="33"/>
      <c r="O130" s="26"/>
    </row>
    <row r="131" spans="1:15" x14ac:dyDescent="0.2">
      <c r="A131" s="12"/>
      <c r="B131" s="77"/>
      <c r="C131" s="77"/>
      <c r="D131" s="77"/>
      <c r="E131" s="80"/>
      <c r="F131" s="77"/>
      <c r="G131" s="38"/>
      <c r="H131" s="77"/>
      <c r="I131" s="77"/>
      <c r="J131" s="77"/>
      <c r="K131" s="33"/>
      <c r="L131" s="82"/>
      <c r="M131" s="12"/>
      <c r="N131" s="33"/>
      <c r="O131" s="26"/>
    </row>
    <row r="132" spans="1:15" x14ac:dyDescent="0.2">
      <c r="A132" s="12"/>
      <c r="B132" s="77"/>
      <c r="C132" s="77"/>
      <c r="D132" s="77"/>
      <c r="E132" s="80"/>
      <c r="F132" s="77"/>
      <c r="G132" s="38"/>
      <c r="H132" s="77"/>
      <c r="I132" s="77"/>
      <c r="J132" s="77"/>
      <c r="K132" s="33"/>
      <c r="L132" s="82"/>
      <c r="M132" s="12"/>
      <c r="N132" s="33"/>
      <c r="O132" s="26"/>
    </row>
    <row r="133" spans="1:15" x14ac:dyDescent="0.2">
      <c r="A133" s="12"/>
      <c r="B133" s="77"/>
      <c r="C133" s="77"/>
      <c r="D133" s="77"/>
      <c r="E133" s="80"/>
      <c r="F133" s="77"/>
      <c r="G133" s="38"/>
      <c r="H133" s="77"/>
      <c r="I133" s="77"/>
      <c r="J133" s="77"/>
      <c r="K133" s="33"/>
      <c r="L133" s="82"/>
      <c r="M133" s="12"/>
      <c r="N133" s="33"/>
      <c r="O133" s="26"/>
    </row>
    <row r="134" spans="1:15" x14ac:dyDescent="0.2">
      <c r="A134" s="12"/>
      <c r="B134" s="77"/>
      <c r="C134" s="77"/>
      <c r="D134" s="77"/>
      <c r="E134" s="80"/>
      <c r="F134" s="77"/>
      <c r="G134" s="38"/>
      <c r="H134" s="77"/>
      <c r="I134" s="77"/>
      <c r="J134" s="77"/>
      <c r="K134" s="33"/>
      <c r="L134" s="82"/>
      <c r="M134" s="12"/>
      <c r="N134" s="33"/>
      <c r="O134" s="26"/>
    </row>
    <row r="135" spans="1:15" x14ac:dyDescent="0.2">
      <c r="A135" s="12"/>
      <c r="B135" s="77"/>
      <c r="C135" s="77"/>
      <c r="D135" s="77"/>
      <c r="E135" s="80"/>
      <c r="F135" s="77"/>
      <c r="G135" s="38"/>
      <c r="H135" s="77"/>
      <c r="I135" s="77"/>
      <c r="J135" s="77"/>
      <c r="K135" s="33"/>
      <c r="L135" s="82"/>
      <c r="M135" s="12"/>
      <c r="N135" s="33"/>
      <c r="O135" s="26"/>
    </row>
    <row r="136" spans="1:15" x14ac:dyDescent="0.2">
      <c r="A136" s="12"/>
      <c r="B136" s="77"/>
      <c r="C136" s="77"/>
      <c r="D136" s="77"/>
      <c r="E136" s="80"/>
      <c r="F136" s="77"/>
      <c r="G136" s="38"/>
      <c r="H136" s="77"/>
      <c r="I136" s="77"/>
      <c r="J136" s="77"/>
      <c r="K136" s="33"/>
      <c r="L136" s="82"/>
      <c r="M136" s="12"/>
      <c r="N136" s="33"/>
      <c r="O136" s="26"/>
    </row>
    <row r="137" spans="1:15" x14ac:dyDescent="0.2">
      <c r="A137" s="12"/>
      <c r="B137" s="77"/>
      <c r="C137" s="77"/>
      <c r="D137" s="77"/>
      <c r="E137" s="80"/>
      <c r="F137" s="77"/>
      <c r="G137" s="38"/>
      <c r="H137" s="77"/>
      <c r="I137" s="77"/>
      <c r="J137" s="77"/>
      <c r="K137" s="33"/>
      <c r="L137" s="82"/>
      <c r="M137" s="12"/>
      <c r="N137" s="33"/>
      <c r="O137" s="26"/>
    </row>
    <row r="138" spans="1:15" x14ac:dyDescent="0.2">
      <c r="A138" s="12"/>
      <c r="B138" s="77"/>
      <c r="C138" s="77"/>
      <c r="D138" s="77"/>
      <c r="E138" s="80"/>
      <c r="F138" s="77"/>
      <c r="G138" s="38"/>
      <c r="H138" s="77"/>
      <c r="I138" s="77"/>
      <c r="J138" s="77"/>
      <c r="K138" s="33"/>
      <c r="L138" s="82"/>
      <c r="M138" s="12"/>
      <c r="N138" s="33"/>
      <c r="O138" s="26"/>
    </row>
    <row r="139" spans="1:15" x14ac:dyDescent="0.2">
      <c r="A139" s="12"/>
      <c r="B139" s="77"/>
      <c r="C139" s="77"/>
      <c r="D139" s="77"/>
      <c r="E139" s="80"/>
      <c r="F139" s="77"/>
      <c r="G139" s="38"/>
      <c r="H139" s="77"/>
      <c r="I139" s="77"/>
      <c r="J139" s="77"/>
      <c r="K139" s="33"/>
      <c r="L139" s="82"/>
      <c r="M139" s="12"/>
      <c r="N139" s="33"/>
      <c r="O139" s="26"/>
    </row>
    <row r="140" spans="1:15" x14ac:dyDescent="0.2">
      <c r="A140" s="12"/>
      <c r="B140" s="77"/>
      <c r="C140" s="77"/>
      <c r="D140" s="77"/>
      <c r="E140" s="80"/>
      <c r="F140" s="77"/>
      <c r="G140" s="38"/>
      <c r="H140" s="77"/>
      <c r="I140" s="77"/>
      <c r="J140" s="77"/>
      <c r="K140" s="33"/>
      <c r="L140" s="82"/>
      <c r="M140" s="12"/>
      <c r="N140" s="33"/>
      <c r="O140" s="26"/>
    </row>
    <row r="141" spans="1:15" x14ac:dyDescent="0.2">
      <c r="A141" s="12"/>
      <c r="B141" s="77"/>
      <c r="C141" s="77"/>
      <c r="D141" s="77"/>
      <c r="E141" s="80"/>
      <c r="F141" s="77"/>
      <c r="G141" s="38"/>
      <c r="H141" s="77"/>
      <c r="I141" s="77"/>
      <c r="J141" s="77"/>
      <c r="K141" s="33"/>
      <c r="L141" s="82"/>
      <c r="M141" s="12"/>
      <c r="N141" s="33"/>
      <c r="O141" s="26"/>
    </row>
    <row r="142" spans="1:15" x14ac:dyDescent="0.2">
      <c r="A142" s="12"/>
      <c r="B142" s="77"/>
      <c r="C142" s="77"/>
      <c r="D142" s="77"/>
      <c r="E142" s="80"/>
      <c r="F142" s="77"/>
      <c r="G142" s="38"/>
      <c r="H142" s="77"/>
      <c r="I142" s="77"/>
      <c r="J142" s="77"/>
      <c r="K142" s="33"/>
      <c r="L142" s="82"/>
      <c r="M142" s="12"/>
      <c r="N142" s="33"/>
      <c r="O142" s="26"/>
    </row>
    <row r="143" spans="1:15" x14ac:dyDescent="0.2">
      <c r="A143" s="12"/>
      <c r="B143" s="77"/>
      <c r="C143" s="77"/>
      <c r="D143" s="77"/>
      <c r="E143" s="80"/>
      <c r="F143" s="77"/>
      <c r="G143" s="38"/>
      <c r="H143" s="77"/>
      <c r="I143" s="77"/>
      <c r="J143" s="77"/>
      <c r="K143" s="33"/>
      <c r="L143" s="82"/>
      <c r="M143" s="12"/>
      <c r="N143" s="33"/>
      <c r="O143" s="26"/>
    </row>
    <row r="144" spans="1:15" x14ac:dyDescent="0.2">
      <c r="A144" s="12"/>
      <c r="B144" s="77"/>
      <c r="C144" s="77"/>
      <c r="D144" s="77"/>
      <c r="E144" s="80"/>
      <c r="F144" s="77"/>
      <c r="G144" s="38"/>
      <c r="H144" s="77"/>
      <c r="I144" s="77"/>
      <c r="J144" s="77"/>
      <c r="K144" s="33"/>
      <c r="L144" s="82"/>
      <c r="M144" s="12"/>
      <c r="N144" s="33"/>
      <c r="O144" s="26"/>
    </row>
    <row r="145" spans="1:15" x14ac:dyDescent="0.2">
      <c r="A145" s="12"/>
      <c r="B145" s="77"/>
      <c r="C145" s="77"/>
      <c r="D145" s="77"/>
      <c r="E145" s="80"/>
      <c r="F145" s="77"/>
      <c r="G145" s="38"/>
      <c r="H145" s="77"/>
      <c r="I145" s="77"/>
      <c r="J145" s="77"/>
      <c r="K145" s="33"/>
      <c r="L145" s="82"/>
      <c r="M145" s="12"/>
      <c r="N145" s="33"/>
      <c r="O145" s="26"/>
    </row>
    <row r="146" spans="1:15" x14ac:dyDescent="0.2">
      <c r="A146" s="12"/>
      <c r="B146" s="77"/>
      <c r="C146" s="77"/>
      <c r="D146" s="77"/>
      <c r="E146" s="80"/>
      <c r="F146" s="77"/>
      <c r="G146" s="38"/>
      <c r="H146" s="77"/>
      <c r="I146" s="77"/>
      <c r="J146" s="77"/>
      <c r="K146" s="33"/>
      <c r="L146" s="82"/>
      <c r="M146" s="12"/>
      <c r="N146" s="33"/>
      <c r="O146" s="26"/>
    </row>
    <row r="147" spans="1:15" x14ac:dyDescent="0.2">
      <c r="A147" s="12"/>
      <c r="B147" s="77"/>
      <c r="C147" s="77"/>
      <c r="D147" s="77"/>
      <c r="E147" s="80"/>
      <c r="F147" s="77"/>
      <c r="G147" s="38"/>
      <c r="H147" s="77"/>
      <c r="I147" s="77"/>
      <c r="J147" s="77"/>
      <c r="K147" s="33"/>
      <c r="L147" s="82"/>
      <c r="M147" s="12"/>
      <c r="N147" s="33"/>
      <c r="O147" s="26"/>
    </row>
    <row r="148" spans="1:15" x14ac:dyDescent="0.2">
      <c r="A148" s="12"/>
      <c r="B148" s="77"/>
      <c r="C148" s="77"/>
      <c r="D148" s="77"/>
      <c r="E148" s="80"/>
      <c r="F148" s="77"/>
      <c r="G148" s="38"/>
      <c r="H148" s="77"/>
      <c r="I148" s="77"/>
      <c r="J148" s="77"/>
      <c r="K148" s="33"/>
      <c r="L148" s="82"/>
      <c r="M148" s="12"/>
      <c r="N148" s="33"/>
      <c r="O148" s="26"/>
    </row>
    <row r="149" spans="1:15" x14ac:dyDescent="0.2">
      <c r="A149" s="12"/>
      <c r="B149" s="77"/>
      <c r="C149" s="77"/>
      <c r="D149" s="77"/>
      <c r="E149" s="80"/>
      <c r="F149" s="77"/>
      <c r="G149" s="38"/>
      <c r="H149" s="77"/>
      <c r="I149" s="77"/>
      <c r="J149" s="77"/>
      <c r="K149" s="33"/>
      <c r="L149" s="82"/>
      <c r="M149" s="12"/>
      <c r="N149" s="33"/>
      <c r="O149" s="26"/>
    </row>
    <row r="150" spans="1:15" x14ac:dyDescent="0.2">
      <c r="A150" s="12"/>
      <c r="B150" s="77"/>
      <c r="C150" s="77"/>
      <c r="D150" s="77"/>
      <c r="E150" s="80"/>
      <c r="F150" s="77"/>
      <c r="G150" s="38"/>
      <c r="H150" s="77"/>
      <c r="I150" s="77"/>
      <c r="J150" s="77"/>
      <c r="K150" s="33"/>
      <c r="L150" s="82"/>
      <c r="M150" s="12"/>
      <c r="N150" s="33"/>
      <c r="O150" s="26"/>
    </row>
    <row r="151" spans="1:15" x14ac:dyDescent="0.2">
      <c r="A151" s="12"/>
      <c r="B151" s="77"/>
      <c r="C151" s="77"/>
      <c r="D151" s="77"/>
      <c r="E151" s="80"/>
      <c r="F151" s="77"/>
      <c r="G151" s="38"/>
      <c r="H151" s="77"/>
      <c r="I151" s="77"/>
      <c r="J151" s="77"/>
      <c r="K151" s="33"/>
      <c r="L151" s="82"/>
      <c r="M151" s="12"/>
      <c r="N151" s="33"/>
      <c r="O151" s="26"/>
    </row>
    <row r="152" spans="1:15" x14ac:dyDescent="0.2">
      <c r="A152" s="12"/>
      <c r="B152" s="77"/>
      <c r="C152" s="77"/>
      <c r="D152" s="77"/>
      <c r="E152" s="80"/>
      <c r="F152" s="77"/>
      <c r="G152" s="38"/>
      <c r="H152" s="77"/>
      <c r="I152" s="77"/>
      <c r="J152" s="77"/>
      <c r="K152" s="33"/>
      <c r="L152" s="82"/>
      <c r="M152" s="12"/>
      <c r="N152" s="33"/>
      <c r="O152" s="26"/>
    </row>
    <row r="153" spans="1:15" x14ac:dyDescent="0.2">
      <c r="A153" s="12"/>
      <c r="B153" s="77"/>
      <c r="C153" s="77"/>
      <c r="D153" s="77"/>
      <c r="E153" s="80"/>
      <c r="F153" s="77"/>
      <c r="G153" s="38"/>
      <c r="H153" s="77"/>
      <c r="I153" s="77"/>
      <c r="J153" s="77"/>
      <c r="K153" s="33"/>
      <c r="L153" s="82"/>
      <c r="M153" s="12"/>
      <c r="N153" s="33"/>
      <c r="O153" s="26"/>
    </row>
    <row r="154" spans="1:15" x14ac:dyDescent="0.2">
      <c r="A154" s="12"/>
      <c r="B154" s="77"/>
      <c r="C154" s="77"/>
      <c r="D154" s="77"/>
      <c r="E154" s="80"/>
      <c r="F154" s="77"/>
      <c r="G154" s="38"/>
      <c r="H154" s="77"/>
      <c r="I154" s="77"/>
      <c r="J154" s="77"/>
      <c r="K154" s="33"/>
      <c r="L154" s="82"/>
      <c r="M154" s="12"/>
      <c r="N154" s="33"/>
      <c r="O154" s="26"/>
    </row>
    <row r="155" spans="1:15" x14ac:dyDescent="0.2">
      <c r="A155" s="12"/>
      <c r="B155" s="77"/>
      <c r="C155" s="77"/>
      <c r="D155" s="77"/>
      <c r="E155" s="80"/>
      <c r="F155" s="77"/>
      <c r="G155" s="38"/>
      <c r="H155" s="77"/>
      <c r="I155" s="77"/>
      <c r="J155" s="77"/>
      <c r="K155" s="33"/>
      <c r="L155" s="82"/>
      <c r="M155" s="12"/>
      <c r="N155" s="33"/>
      <c r="O155" s="26"/>
    </row>
    <row r="156" spans="1:15" x14ac:dyDescent="0.2">
      <c r="A156" s="12"/>
      <c r="B156" s="77"/>
      <c r="C156" s="77"/>
      <c r="D156" s="77"/>
      <c r="E156" s="80"/>
      <c r="F156" s="77"/>
      <c r="G156" s="38"/>
      <c r="H156" s="77"/>
      <c r="I156" s="77"/>
      <c r="J156" s="77"/>
      <c r="K156" s="33"/>
      <c r="L156" s="82"/>
      <c r="M156" s="12"/>
      <c r="N156" s="33"/>
      <c r="O156" s="26"/>
    </row>
    <row r="157" spans="1:15" x14ac:dyDescent="0.2">
      <c r="A157" s="12"/>
      <c r="B157" s="77"/>
      <c r="C157" s="77"/>
      <c r="D157" s="77"/>
      <c r="E157" s="80"/>
      <c r="F157" s="77"/>
      <c r="G157" s="38"/>
      <c r="H157" s="77"/>
      <c r="I157" s="77"/>
      <c r="J157" s="77"/>
      <c r="K157" s="33"/>
      <c r="L157" s="82"/>
      <c r="M157" s="12"/>
      <c r="N157" s="33"/>
      <c r="O157" s="26"/>
    </row>
    <row r="158" spans="1:15" x14ac:dyDescent="0.2">
      <c r="A158" s="26"/>
      <c r="B158" s="26"/>
      <c r="C158" s="77"/>
      <c r="D158" s="77"/>
      <c r="E158" s="26"/>
      <c r="F158" s="26"/>
      <c r="G158" s="26"/>
      <c r="H158" s="77"/>
      <c r="I158" s="26"/>
      <c r="J158" s="26"/>
      <c r="K158" s="33"/>
      <c r="L158" s="26"/>
      <c r="M158" s="26"/>
      <c r="N158" s="26"/>
      <c r="O158" s="26"/>
    </row>
    <row r="159" spans="1:15" x14ac:dyDescent="0.2">
      <c r="A159" s="26"/>
      <c r="B159" s="26"/>
      <c r="C159" s="77"/>
      <c r="D159" s="77"/>
      <c r="E159" s="26"/>
      <c r="F159" s="26"/>
      <c r="G159" s="26"/>
      <c r="H159" s="77"/>
      <c r="I159" s="26"/>
      <c r="J159" s="26"/>
      <c r="K159" s="33"/>
      <c r="L159" s="26"/>
      <c r="M159" s="26"/>
      <c r="N159" s="26"/>
      <c r="O159" s="26"/>
    </row>
    <row r="160" spans="1:15" x14ac:dyDescent="0.2">
      <c r="A160" s="26"/>
      <c r="B160" s="26"/>
      <c r="C160" s="77"/>
      <c r="D160" s="77"/>
      <c r="E160" s="26"/>
      <c r="F160" s="26"/>
      <c r="G160" s="26"/>
      <c r="H160" s="77"/>
      <c r="I160" s="26"/>
      <c r="J160" s="26"/>
      <c r="K160" s="33"/>
      <c r="L160" s="26"/>
      <c r="M160" s="26"/>
      <c r="N160" s="26"/>
      <c r="O160" s="26"/>
    </row>
    <row r="161" spans="1:15" x14ac:dyDescent="0.2">
      <c r="A161" s="26"/>
      <c r="B161" s="26"/>
      <c r="C161" s="77"/>
      <c r="D161" s="77"/>
      <c r="E161" s="26"/>
      <c r="F161" s="26"/>
      <c r="G161" s="26"/>
      <c r="H161" s="77"/>
      <c r="I161" s="26"/>
      <c r="J161" s="26"/>
      <c r="K161" s="33"/>
      <c r="L161" s="26"/>
      <c r="M161" s="26"/>
      <c r="N161" s="26"/>
      <c r="O161" s="26"/>
    </row>
    <row r="162" spans="1:15" x14ac:dyDescent="0.2">
      <c r="A162" s="26"/>
      <c r="B162" s="26"/>
      <c r="C162" s="77"/>
      <c r="D162" s="77"/>
      <c r="E162" s="26"/>
      <c r="F162" s="26"/>
      <c r="G162" s="26"/>
      <c r="H162" s="77"/>
      <c r="I162" s="26"/>
      <c r="J162" s="26"/>
      <c r="K162" s="33"/>
      <c r="L162" s="26"/>
      <c r="M162" s="26"/>
      <c r="N162" s="26"/>
      <c r="O162" s="26"/>
    </row>
    <row r="163" spans="1:15" x14ac:dyDescent="0.2">
      <c r="A163" s="26"/>
      <c r="B163" s="26"/>
      <c r="C163" s="77"/>
      <c r="D163" s="77"/>
      <c r="E163" s="26"/>
      <c r="F163" s="26"/>
      <c r="G163" s="26"/>
      <c r="H163" s="77"/>
      <c r="I163" s="26"/>
      <c r="J163" s="26"/>
      <c r="K163" s="33"/>
      <c r="L163" s="26"/>
      <c r="M163" s="26"/>
      <c r="N163" s="26"/>
      <c r="O163" s="26"/>
    </row>
    <row r="164" spans="1:15" x14ac:dyDescent="0.2">
      <c r="A164" s="26"/>
      <c r="B164" s="26"/>
      <c r="C164" s="77"/>
      <c r="D164" s="77"/>
      <c r="E164" s="26"/>
      <c r="F164" s="26"/>
      <c r="G164" s="26"/>
      <c r="H164" s="77"/>
      <c r="I164" s="26"/>
      <c r="J164" s="26"/>
      <c r="K164" s="33"/>
      <c r="L164" s="26"/>
      <c r="M164" s="26"/>
      <c r="N164" s="26"/>
      <c r="O164" s="26"/>
    </row>
    <row r="165" spans="1:15" x14ac:dyDescent="0.2">
      <c r="A165" s="26"/>
      <c r="B165" s="26"/>
      <c r="C165" s="77"/>
      <c r="D165" s="77"/>
      <c r="E165" s="26"/>
      <c r="F165" s="26"/>
      <c r="G165" s="26"/>
      <c r="H165" s="77"/>
      <c r="I165" s="26"/>
      <c r="J165" s="26"/>
      <c r="K165" s="33"/>
      <c r="L165" s="26"/>
      <c r="M165" s="26"/>
      <c r="N165" s="26"/>
      <c r="O165" s="26"/>
    </row>
    <row r="166" spans="1:15" x14ac:dyDescent="0.2">
      <c r="A166" s="26"/>
      <c r="B166" s="26"/>
      <c r="C166" s="77"/>
      <c r="D166" s="77"/>
      <c r="E166" s="26"/>
      <c r="F166" s="26"/>
      <c r="G166" s="26"/>
      <c r="H166" s="77"/>
      <c r="I166" s="26"/>
      <c r="J166" s="26"/>
      <c r="K166" s="33"/>
      <c r="L166" s="26"/>
      <c r="M166" s="26"/>
      <c r="N166" s="26"/>
      <c r="O166" s="26"/>
    </row>
    <row r="167" spans="1:15" x14ac:dyDescent="0.2">
      <c r="A167" s="26"/>
      <c r="B167" s="26"/>
      <c r="C167" s="77"/>
      <c r="D167" s="77"/>
      <c r="E167" s="26"/>
      <c r="F167" s="26"/>
      <c r="G167" s="26"/>
      <c r="H167" s="77"/>
      <c r="I167" s="26"/>
      <c r="J167" s="26"/>
      <c r="K167" s="33"/>
      <c r="L167" s="26"/>
      <c r="M167" s="26"/>
      <c r="N167" s="26"/>
      <c r="O167" s="26"/>
    </row>
    <row r="168" spans="1:15" x14ac:dyDescent="0.2">
      <c r="A168" s="26"/>
      <c r="B168" s="26"/>
      <c r="C168" s="77"/>
      <c r="D168" s="77"/>
      <c r="E168" s="26"/>
      <c r="F168" s="26"/>
      <c r="G168" s="26"/>
      <c r="H168" s="77"/>
      <c r="I168" s="26"/>
      <c r="J168" s="26"/>
      <c r="K168" s="33"/>
      <c r="L168" s="100"/>
      <c r="M168" s="100"/>
      <c r="N168" s="26"/>
      <c r="O168" s="96"/>
    </row>
    <row r="169" spans="1:15" x14ac:dyDescent="0.2">
      <c r="A169" s="26"/>
      <c r="B169" s="26"/>
      <c r="C169" s="77"/>
      <c r="D169" s="77"/>
      <c r="E169" s="26"/>
      <c r="F169" s="26"/>
      <c r="G169" s="26"/>
      <c r="H169" s="77"/>
      <c r="I169" s="26"/>
      <c r="J169" s="26"/>
      <c r="K169" s="33"/>
      <c r="L169" s="26"/>
      <c r="M169" s="26"/>
      <c r="N169" s="26"/>
      <c r="O169" s="26"/>
    </row>
    <row r="170" spans="1:15" x14ac:dyDescent="0.2">
      <c r="A170" s="26"/>
      <c r="B170" s="26"/>
      <c r="C170" s="77"/>
      <c r="D170" s="77"/>
      <c r="E170" s="26"/>
      <c r="F170" s="26"/>
      <c r="G170" s="26"/>
      <c r="H170" s="77"/>
      <c r="I170" s="26"/>
      <c r="J170" s="26"/>
      <c r="K170" s="33"/>
      <c r="L170" s="26"/>
      <c r="M170" s="26"/>
      <c r="N170" s="26"/>
      <c r="O170" s="26"/>
    </row>
    <row r="171" spans="1:15" x14ac:dyDescent="0.2">
      <c r="A171" s="26"/>
      <c r="B171" s="26"/>
      <c r="C171" s="77"/>
      <c r="D171" s="77"/>
      <c r="E171" s="26"/>
      <c r="F171" s="26"/>
      <c r="G171" s="26"/>
      <c r="H171" s="77"/>
      <c r="I171" s="26"/>
      <c r="J171" s="26"/>
      <c r="K171" s="33"/>
      <c r="L171" s="26"/>
      <c r="M171" s="26"/>
      <c r="N171" s="26"/>
      <c r="O171" s="26"/>
    </row>
    <row r="172" spans="1:15" x14ac:dyDescent="0.2">
      <c r="A172" s="26"/>
      <c r="B172" s="26"/>
      <c r="C172" s="77"/>
      <c r="D172" s="77"/>
      <c r="E172" s="26"/>
      <c r="F172" s="26"/>
      <c r="G172" s="26"/>
      <c r="H172" s="77"/>
      <c r="I172" s="26"/>
      <c r="J172" s="26"/>
      <c r="K172" s="33"/>
      <c r="L172" s="26"/>
      <c r="M172" s="26"/>
      <c r="N172" s="26"/>
      <c r="O172" s="26"/>
    </row>
    <row r="173" spans="1:15" x14ac:dyDescent="0.2">
      <c r="A173" s="26"/>
      <c r="B173" s="26"/>
      <c r="C173" s="77"/>
      <c r="D173" s="77"/>
      <c r="E173" s="26"/>
      <c r="F173" s="26"/>
      <c r="G173" s="26"/>
      <c r="H173" s="77"/>
      <c r="I173" s="26"/>
      <c r="J173" s="26"/>
      <c r="K173" s="33"/>
      <c r="L173" s="26"/>
      <c r="M173" s="26"/>
      <c r="N173" s="26"/>
      <c r="O173" s="26"/>
    </row>
    <row r="174" spans="1:15" x14ac:dyDescent="0.2">
      <c r="A174" s="26"/>
      <c r="B174" s="26"/>
      <c r="C174" s="77"/>
      <c r="D174" s="77"/>
      <c r="E174" s="26"/>
      <c r="F174" s="26"/>
      <c r="G174" s="26"/>
      <c r="H174" s="77"/>
      <c r="I174" s="26"/>
      <c r="J174" s="26"/>
      <c r="K174" s="33"/>
      <c r="L174" s="26"/>
      <c r="M174" s="26"/>
      <c r="N174" s="26"/>
      <c r="O174" s="26"/>
    </row>
    <row r="175" spans="1:15" x14ac:dyDescent="0.2">
      <c r="A175" s="26"/>
      <c r="B175" s="26"/>
      <c r="C175" s="77"/>
      <c r="D175" s="77"/>
      <c r="E175" s="26"/>
      <c r="F175" s="26"/>
      <c r="G175" s="26"/>
      <c r="H175" s="77"/>
      <c r="I175" s="26"/>
      <c r="J175" s="26"/>
      <c r="K175" s="33"/>
      <c r="L175" s="26"/>
      <c r="M175" s="26"/>
      <c r="N175" s="26"/>
      <c r="O175" s="26"/>
    </row>
    <row r="176" spans="1:15" x14ac:dyDescent="0.2">
      <c r="A176" s="26"/>
      <c r="B176" s="26"/>
      <c r="C176" s="77"/>
      <c r="D176" s="77"/>
      <c r="E176" s="26"/>
      <c r="F176" s="26"/>
      <c r="G176" s="26"/>
      <c r="H176" s="77"/>
      <c r="I176" s="26"/>
      <c r="J176" s="26"/>
      <c r="K176" s="33"/>
      <c r="L176" s="26"/>
      <c r="M176" s="26"/>
      <c r="N176" s="26"/>
      <c r="O176" s="26"/>
    </row>
    <row r="177" spans="1:15" x14ac:dyDescent="0.2">
      <c r="A177" s="26"/>
      <c r="B177" s="26"/>
      <c r="C177" s="77"/>
      <c r="D177" s="77"/>
      <c r="E177" s="26"/>
      <c r="F177" s="26"/>
      <c r="G177" s="26"/>
      <c r="H177" s="77"/>
      <c r="I177" s="26"/>
      <c r="J177" s="26"/>
      <c r="K177" s="33"/>
      <c r="L177" s="26"/>
      <c r="M177" s="26"/>
      <c r="N177" s="26"/>
      <c r="O177" s="26"/>
    </row>
    <row r="178" spans="1:15" x14ac:dyDescent="0.2">
      <c r="A178" s="26"/>
      <c r="B178" s="26"/>
      <c r="C178" s="77"/>
      <c r="D178" s="77"/>
      <c r="E178" s="26"/>
      <c r="F178" s="26"/>
      <c r="G178" s="26"/>
      <c r="H178" s="77"/>
      <c r="I178" s="26"/>
      <c r="J178" s="26"/>
      <c r="K178" s="33"/>
      <c r="L178" s="26"/>
      <c r="M178" s="26"/>
      <c r="N178" s="26"/>
      <c r="O178" s="26"/>
    </row>
    <row r="179" spans="1:15" x14ac:dyDescent="0.2">
      <c r="A179" s="26"/>
      <c r="B179" s="26"/>
      <c r="C179" s="77"/>
      <c r="D179" s="77"/>
      <c r="E179" s="26"/>
      <c r="F179" s="26"/>
      <c r="G179" s="26"/>
      <c r="H179" s="77"/>
      <c r="I179" s="26"/>
      <c r="J179" s="26"/>
      <c r="K179" s="33"/>
      <c r="L179" s="26"/>
      <c r="M179" s="26"/>
      <c r="N179" s="26"/>
      <c r="O179" s="26"/>
    </row>
    <row r="180" spans="1:15" x14ac:dyDescent="0.2">
      <c r="A180" s="26"/>
      <c r="B180" s="26"/>
      <c r="C180" s="77"/>
      <c r="D180" s="77"/>
      <c r="E180" s="26"/>
      <c r="F180" s="26"/>
      <c r="G180" s="26"/>
      <c r="H180" s="77"/>
      <c r="I180" s="26"/>
      <c r="J180" s="26"/>
      <c r="K180" s="33"/>
      <c r="L180" s="26"/>
      <c r="M180" s="26"/>
      <c r="N180" s="26"/>
      <c r="O180" s="26"/>
    </row>
    <row r="181" spans="1:15" x14ac:dyDescent="0.2">
      <c r="A181" s="26"/>
      <c r="B181" s="26"/>
      <c r="C181" s="77"/>
      <c r="D181" s="77"/>
      <c r="E181" s="26"/>
      <c r="F181" s="26"/>
      <c r="G181" s="26"/>
      <c r="H181" s="77"/>
      <c r="I181" s="26"/>
      <c r="J181" s="26"/>
      <c r="K181" s="33"/>
      <c r="L181" s="26"/>
      <c r="M181" s="26"/>
      <c r="N181" s="26"/>
      <c r="O181" s="26"/>
    </row>
    <row r="182" spans="1:15" x14ac:dyDescent="0.2">
      <c r="A182" s="26"/>
      <c r="B182" s="26"/>
      <c r="C182" s="77"/>
      <c r="D182" s="77"/>
      <c r="E182" s="26"/>
      <c r="F182" s="26"/>
      <c r="G182" s="26"/>
      <c r="H182" s="77"/>
      <c r="I182" s="26"/>
      <c r="J182" s="26"/>
      <c r="K182" s="33"/>
      <c r="L182" s="26"/>
      <c r="M182" s="26"/>
      <c r="N182" s="26"/>
      <c r="O182" s="26"/>
    </row>
    <row r="183" spans="1:15" x14ac:dyDescent="0.2">
      <c r="A183" s="26"/>
      <c r="B183" s="26"/>
      <c r="C183" s="77"/>
      <c r="D183" s="77"/>
      <c r="E183" s="26"/>
      <c r="F183" s="26"/>
      <c r="G183" s="26"/>
      <c r="H183" s="77"/>
      <c r="I183" s="26"/>
      <c r="J183" s="26"/>
      <c r="K183" s="33"/>
      <c r="L183" s="26"/>
      <c r="M183" s="26"/>
      <c r="N183" s="26"/>
      <c r="O183" s="26"/>
    </row>
    <row r="184" spans="1:15" x14ac:dyDescent="0.2">
      <c r="A184" s="26"/>
      <c r="B184" s="26"/>
      <c r="C184" s="77"/>
      <c r="D184" s="77"/>
      <c r="E184" s="26"/>
      <c r="F184" s="26"/>
      <c r="G184" s="26"/>
      <c r="H184" s="77"/>
      <c r="I184" s="26"/>
      <c r="J184" s="26"/>
      <c r="K184" s="33"/>
      <c r="L184" s="26"/>
      <c r="M184" s="26"/>
      <c r="N184" s="26"/>
      <c r="O184" s="26"/>
    </row>
    <row r="185" spans="1:15" x14ac:dyDescent="0.2">
      <c r="A185" s="26"/>
      <c r="B185" s="26"/>
      <c r="C185" s="77"/>
      <c r="D185" s="77"/>
      <c r="E185" s="26"/>
      <c r="F185" s="26"/>
      <c r="G185" s="26"/>
      <c r="H185" s="95"/>
      <c r="I185" s="26"/>
      <c r="J185" s="26"/>
      <c r="K185" s="33"/>
      <c r="L185" s="26"/>
      <c r="M185" s="26"/>
      <c r="N185" s="26"/>
      <c r="O185" s="26"/>
    </row>
    <row r="186" spans="1:15" x14ac:dyDescent="0.2">
      <c r="A186" s="26"/>
      <c r="B186" s="26"/>
      <c r="C186" s="77"/>
      <c r="D186" s="77"/>
      <c r="E186" s="26"/>
      <c r="F186" s="26"/>
      <c r="G186" s="26"/>
      <c r="H186" s="77"/>
      <c r="I186" s="26"/>
      <c r="J186" s="26"/>
      <c r="K186" s="33"/>
      <c r="L186" s="26"/>
      <c r="M186" s="26"/>
      <c r="N186" s="26"/>
      <c r="O186" s="26"/>
    </row>
    <row r="187" spans="1:15" x14ac:dyDescent="0.2">
      <c r="A187" s="26"/>
      <c r="B187" s="26"/>
      <c r="C187" s="77"/>
      <c r="D187" s="77"/>
      <c r="E187" s="26"/>
      <c r="F187" s="26"/>
      <c r="G187" s="26"/>
      <c r="H187" s="77"/>
      <c r="I187" s="26"/>
      <c r="J187" s="26"/>
      <c r="K187" s="33"/>
      <c r="L187" s="26"/>
      <c r="M187" s="26"/>
      <c r="N187" s="26"/>
      <c r="O187" s="26"/>
    </row>
    <row r="188" spans="1:15" x14ac:dyDescent="0.2">
      <c r="A188" s="26"/>
      <c r="B188" s="26"/>
      <c r="C188" s="77"/>
      <c r="D188" s="77"/>
      <c r="E188" s="26"/>
      <c r="F188" s="26"/>
      <c r="G188" s="26"/>
      <c r="H188" s="77"/>
      <c r="I188" s="26"/>
      <c r="J188" s="26"/>
      <c r="K188" s="33"/>
      <c r="L188" s="26"/>
      <c r="M188" s="26"/>
      <c r="N188" s="26"/>
      <c r="O188" s="26"/>
    </row>
    <row r="189" spans="1:15" x14ac:dyDescent="0.2">
      <c r="A189" s="26"/>
      <c r="B189" s="26"/>
      <c r="C189" s="77"/>
      <c r="D189" s="77"/>
      <c r="E189" s="26"/>
      <c r="F189" s="26"/>
      <c r="G189" s="26"/>
      <c r="H189" s="77"/>
      <c r="I189" s="26"/>
      <c r="J189" s="26"/>
      <c r="K189" s="33"/>
      <c r="L189" s="26"/>
      <c r="M189" s="26"/>
      <c r="N189" s="26"/>
      <c r="O189" s="26"/>
    </row>
    <row r="190" spans="1:15" x14ac:dyDescent="0.2">
      <c r="A190" s="26"/>
      <c r="B190" s="26"/>
      <c r="C190" s="77"/>
      <c r="D190" s="77"/>
      <c r="E190" s="26"/>
      <c r="F190" s="26"/>
      <c r="G190" s="26"/>
      <c r="H190" s="77"/>
      <c r="I190" s="26"/>
      <c r="J190" s="26"/>
      <c r="K190" s="33"/>
      <c r="L190" s="26"/>
      <c r="M190" s="26"/>
      <c r="N190" s="26"/>
      <c r="O190" s="26"/>
    </row>
    <row r="191" spans="1:15" x14ac:dyDescent="0.2">
      <c r="A191" s="26"/>
      <c r="B191" s="26"/>
      <c r="C191" s="77"/>
      <c r="D191" s="77"/>
      <c r="E191" s="26"/>
      <c r="F191" s="26"/>
      <c r="G191" s="26"/>
      <c r="H191" s="77"/>
      <c r="I191" s="26"/>
      <c r="J191" s="26"/>
      <c r="K191" s="33"/>
      <c r="L191" s="26"/>
      <c r="M191" s="26"/>
      <c r="N191" s="26"/>
      <c r="O191" s="26"/>
    </row>
    <row r="192" spans="1:15" x14ac:dyDescent="0.2">
      <c r="A192" s="26"/>
      <c r="B192" s="26"/>
      <c r="C192" s="77"/>
      <c r="D192" s="77"/>
      <c r="E192" s="26"/>
      <c r="F192" s="26"/>
      <c r="G192" s="26"/>
      <c r="H192" s="77"/>
      <c r="I192" s="26"/>
      <c r="J192" s="26"/>
      <c r="K192" s="33"/>
      <c r="L192" s="26"/>
      <c r="M192" s="26"/>
      <c r="N192" s="26"/>
      <c r="O192" s="26"/>
    </row>
    <row r="193" spans="1:15" x14ac:dyDescent="0.2">
      <c r="A193" s="26"/>
      <c r="B193" s="26"/>
      <c r="C193" s="77"/>
      <c r="D193" s="77"/>
      <c r="E193" s="26"/>
      <c r="F193" s="26"/>
      <c r="G193" s="26"/>
      <c r="H193" s="77"/>
      <c r="I193" s="26"/>
      <c r="J193" s="26"/>
      <c r="K193" s="33"/>
      <c r="L193" s="26"/>
      <c r="M193" s="26"/>
      <c r="N193" s="26"/>
      <c r="O193" s="26"/>
    </row>
    <row r="194" spans="1:15" x14ac:dyDescent="0.2">
      <c r="A194" s="26"/>
      <c r="B194" s="26"/>
      <c r="C194" s="77"/>
      <c r="D194" s="77"/>
      <c r="E194" s="26"/>
      <c r="F194" s="26"/>
      <c r="G194" s="26"/>
      <c r="H194" s="77"/>
      <c r="I194" s="26"/>
      <c r="J194" s="26"/>
      <c r="K194" s="33"/>
      <c r="L194" s="26"/>
      <c r="M194" s="26"/>
      <c r="N194" s="26"/>
      <c r="O194" s="26"/>
    </row>
    <row r="195" spans="1:15" x14ac:dyDescent="0.2">
      <c r="A195" s="26"/>
      <c r="B195" s="26"/>
      <c r="C195" s="77"/>
      <c r="D195" s="77"/>
      <c r="E195" s="26"/>
      <c r="F195" s="26"/>
      <c r="G195" s="26"/>
      <c r="H195" s="77"/>
      <c r="I195" s="26"/>
      <c r="J195" s="26"/>
      <c r="K195" s="33"/>
      <c r="L195" s="26"/>
      <c r="M195" s="26"/>
      <c r="N195" s="26"/>
      <c r="O195" s="26"/>
    </row>
    <row r="196" spans="1:15" x14ac:dyDescent="0.2">
      <c r="A196" s="26"/>
      <c r="B196" s="26"/>
      <c r="C196" s="77"/>
      <c r="D196" s="77"/>
      <c r="E196" s="26"/>
      <c r="F196" s="26"/>
      <c r="G196" s="26"/>
      <c r="H196" s="77"/>
      <c r="I196" s="26"/>
      <c r="J196" s="26"/>
      <c r="K196" s="33"/>
      <c r="L196" s="26"/>
      <c r="M196" s="26"/>
      <c r="N196" s="26"/>
      <c r="O196" s="26"/>
    </row>
    <row r="197" spans="1:15" x14ac:dyDescent="0.2">
      <c r="A197" s="26"/>
      <c r="B197" s="26"/>
      <c r="C197" s="77"/>
      <c r="D197" s="77"/>
      <c r="E197" s="26"/>
      <c r="F197" s="26"/>
      <c r="G197" s="26"/>
      <c r="H197" s="77"/>
      <c r="I197" s="26"/>
      <c r="J197" s="26"/>
      <c r="K197" s="33"/>
      <c r="L197" s="26"/>
      <c r="M197" s="26"/>
      <c r="N197" s="26"/>
      <c r="O197" s="26"/>
    </row>
    <row r="198" spans="1:15" x14ac:dyDescent="0.2">
      <c r="A198" s="26"/>
      <c r="B198" s="26"/>
      <c r="C198" s="77"/>
      <c r="D198" s="77"/>
      <c r="E198" s="26"/>
      <c r="F198" s="26"/>
      <c r="G198" s="26"/>
      <c r="H198" s="77"/>
      <c r="I198" s="26"/>
      <c r="J198" s="26"/>
      <c r="K198" s="33"/>
      <c r="L198" s="26"/>
      <c r="M198" s="26"/>
      <c r="N198" s="26"/>
      <c r="O198" s="26"/>
    </row>
    <row r="199" spans="1:15" x14ac:dyDescent="0.2">
      <c r="A199" s="26"/>
      <c r="B199" s="26"/>
      <c r="C199" s="77"/>
      <c r="D199" s="77"/>
      <c r="E199" s="26"/>
      <c r="F199" s="26"/>
      <c r="G199" s="26"/>
      <c r="H199" s="77"/>
      <c r="I199" s="26"/>
      <c r="J199" s="26"/>
      <c r="K199" s="33"/>
      <c r="L199" s="26"/>
      <c r="M199" s="26"/>
      <c r="N199" s="26"/>
      <c r="O199" s="26"/>
    </row>
    <row r="200" spans="1:15" x14ac:dyDescent="0.2">
      <c r="A200" s="26"/>
      <c r="B200" s="26"/>
      <c r="C200" s="77"/>
      <c r="D200" s="77"/>
      <c r="E200" s="26"/>
      <c r="F200" s="26"/>
      <c r="G200" s="26"/>
      <c r="H200" s="77"/>
      <c r="I200" s="26"/>
      <c r="J200" s="26"/>
      <c r="K200" s="33"/>
      <c r="L200" s="26"/>
      <c r="M200" s="26"/>
      <c r="N200" s="26"/>
      <c r="O200" s="26"/>
    </row>
    <row r="201" spans="1:15" x14ac:dyDescent="0.2">
      <c r="A201" s="26"/>
      <c r="B201" s="26"/>
      <c r="C201" s="77"/>
      <c r="D201" s="77"/>
      <c r="E201" s="26"/>
      <c r="F201" s="26"/>
      <c r="G201" s="26"/>
      <c r="H201" s="77"/>
      <c r="I201" s="26"/>
      <c r="J201" s="26"/>
      <c r="K201" s="33"/>
      <c r="L201" s="26"/>
      <c r="M201" s="26"/>
      <c r="N201" s="26"/>
      <c r="O201" s="26"/>
    </row>
    <row r="202" spans="1:15" x14ac:dyDescent="0.2">
      <c r="A202" s="26"/>
      <c r="B202" s="26"/>
      <c r="C202" s="77"/>
      <c r="D202" s="77"/>
      <c r="E202" s="26"/>
      <c r="F202" s="26"/>
      <c r="G202" s="26"/>
      <c r="H202" s="77"/>
      <c r="I202" s="26"/>
      <c r="J202" s="26"/>
      <c r="K202" s="33"/>
      <c r="L202" s="26"/>
      <c r="M202" s="26"/>
      <c r="N202" s="26"/>
      <c r="O202" s="26"/>
    </row>
    <row r="203" spans="1:15" x14ac:dyDescent="0.2">
      <c r="A203" s="26"/>
      <c r="B203" s="26"/>
      <c r="C203" s="77"/>
      <c r="D203" s="103"/>
      <c r="E203" s="26"/>
      <c r="F203" s="96"/>
      <c r="G203" s="96"/>
      <c r="H203" s="77"/>
      <c r="I203" s="26"/>
      <c r="J203" s="26"/>
      <c r="K203" s="33"/>
      <c r="L203" s="26"/>
      <c r="M203" s="26"/>
      <c r="N203" s="26"/>
      <c r="O203" s="26"/>
    </row>
    <row r="204" spans="1:15" x14ac:dyDescent="0.2">
      <c r="A204" s="6"/>
      <c r="B204" s="8"/>
      <c r="C204" s="8"/>
      <c r="D204" s="8"/>
      <c r="E204" s="30"/>
      <c r="F204" s="35"/>
      <c r="G204" s="38"/>
      <c r="H204" s="37"/>
      <c r="I204" s="8"/>
      <c r="J204" s="35"/>
      <c r="K204" s="33"/>
      <c r="L204" s="36"/>
      <c r="M204" s="33"/>
      <c r="N204" s="33"/>
      <c r="O204" s="26"/>
    </row>
    <row r="205" spans="1:15" x14ac:dyDescent="0.2">
      <c r="A205" s="26"/>
      <c r="B205" s="26"/>
      <c r="C205" s="77"/>
      <c r="D205" s="77"/>
      <c r="E205" s="26"/>
      <c r="F205" s="96"/>
      <c r="G205" s="96"/>
      <c r="H205" s="77"/>
      <c r="I205" s="26"/>
      <c r="J205" s="26"/>
      <c r="K205" s="33"/>
      <c r="L205" s="26"/>
      <c r="M205" s="26"/>
      <c r="N205" s="26"/>
      <c r="O205" s="26"/>
    </row>
    <row r="206" spans="1:15" x14ac:dyDescent="0.2">
      <c r="A206" s="96"/>
      <c r="B206" s="26"/>
      <c r="C206" s="77"/>
      <c r="D206" s="77"/>
      <c r="E206" s="26"/>
      <c r="F206" s="96"/>
      <c r="G206" s="96"/>
      <c r="H206" s="77"/>
      <c r="I206" s="26"/>
      <c r="J206" s="26"/>
      <c r="K206" s="33"/>
      <c r="L206" s="100"/>
      <c r="M206" s="26"/>
      <c r="N206" s="100"/>
      <c r="O206" s="26"/>
    </row>
    <row r="207" spans="1:15" x14ac:dyDescent="0.2">
      <c r="A207" s="12"/>
      <c r="B207" s="77"/>
      <c r="C207" s="77"/>
      <c r="D207" s="77"/>
      <c r="E207" s="80"/>
      <c r="F207" s="77"/>
      <c r="G207" s="38"/>
      <c r="H207" s="77"/>
      <c r="I207" s="77"/>
      <c r="J207" s="77"/>
      <c r="K207" s="33"/>
      <c r="L207" s="82"/>
      <c r="M207" s="33"/>
      <c r="N207" s="33"/>
      <c r="O207" s="26"/>
    </row>
    <row r="208" spans="1:15" x14ac:dyDescent="0.2">
      <c r="A208" s="12"/>
      <c r="B208" s="77"/>
      <c r="C208" s="77"/>
      <c r="D208" s="77"/>
      <c r="E208" s="80"/>
      <c r="F208" s="77"/>
      <c r="G208" s="38"/>
      <c r="H208" s="77"/>
      <c r="I208" s="77"/>
      <c r="J208" s="77"/>
      <c r="K208" s="33"/>
      <c r="L208" s="82"/>
      <c r="M208" s="33"/>
      <c r="N208" s="33"/>
      <c r="O208" s="26"/>
    </row>
    <row r="209" spans="1:15" x14ac:dyDescent="0.2">
      <c r="A209" s="26"/>
      <c r="B209" s="26"/>
      <c r="C209" s="77"/>
      <c r="D209" s="77"/>
      <c r="E209" s="26"/>
      <c r="F209" s="26"/>
      <c r="G209" s="26"/>
      <c r="H209" s="77"/>
      <c r="I209" s="26"/>
      <c r="J209" s="26"/>
      <c r="K209" s="33"/>
      <c r="L209" s="26"/>
      <c r="M209" s="26"/>
      <c r="N209" s="26"/>
      <c r="O209" s="26"/>
    </row>
    <row r="210" spans="1:15" x14ac:dyDescent="0.2">
      <c r="A210" s="26"/>
      <c r="B210" s="26"/>
      <c r="C210" s="77"/>
      <c r="D210" s="103"/>
      <c r="E210" s="26"/>
      <c r="F210" s="96"/>
      <c r="G210" s="26"/>
      <c r="H210" s="77"/>
      <c r="I210" s="26"/>
      <c r="J210" s="26"/>
      <c r="K210" s="33"/>
      <c r="L210" s="26"/>
      <c r="M210" s="26"/>
      <c r="N210" s="26"/>
      <c r="O210" s="26"/>
    </row>
    <row r="211" spans="1:15" x14ac:dyDescent="0.2">
      <c r="A211" s="26"/>
      <c r="B211" s="26"/>
      <c r="C211" s="77"/>
      <c r="D211" s="103"/>
      <c r="E211" s="26"/>
      <c r="F211" s="96"/>
      <c r="G211" s="96"/>
      <c r="H211" s="77"/>
      <c r="I211" s="26"/>
      <c r="J211" s="26"/>
      <c r="K211" s="33"/>
      <c r="L211" s="26"/>
      <c r="M211" s="26"/>
      <c r="N211" s="26"/>
      <c r="O211" s="26"/>
    </row>
    <row r="212" spans="1:15" x14ac:dyDescent="0.2">
      <c r="A212" s="26"/>
      <c r="B212" s="26"/>
      <c r="C212" s="77"/>
      <c r="D212" s="8"/>
      <c r="E212" s="26"/>
      <c r="F212" s="96"/>
      <c r="G212" s="96"/>
      <c r="H212" s="77"/>
      <c r="I212" s="26"/>
      <c r="J212" s="26"/>
      <c r="K212" s="33"/>
      <c r="L212" s="26"/>
      <c r="M212" s="26"/>
      <c r="N212" s="26"/>
      <c r="O212" s="26"/>
    </row>
    <row r="213" spans="1:15" x14ac:dyDescent="0.2">
      <c r="A213" s="26"/>
      <c r="B213" s="26"/>
      <c r="C213" s="77"/>
      <c r="D213" s="77"/>
      <c r="E213" s="26"/>
      <c r="F213" s="96"/>
      <c r="G213" s="96"/>
      <c r="H213" s="77"/>
      <c r="I213" s="26"/>
      <c r="J213" s="26"/>
      <c r="K213" s="33"/>
      <c r="L213" s="26"/>
      <c r="M213" s="26"/>
      <c r="N213" s="26"/>
      <c r="O213" s="26"/>
    </row>
    <row r="214" spans="1:15" x14ac:dyDescent="0.2">
      <c r="A214" s="26"/>
      <c r="B214" s="26"/>
      <c r="C214" s="77"/>
      <c r="D214" s="77"/>
      <c r="E214" s="26"/>
      <c r="F214" s="96"/>
      <c r="G214" s="26"/>
      <c r="H214" s="77"/>
      <c r="I214" s="26"/>
      <c r="J214" s="26"/>
      <c r="K214" s="33"/>
      <c r="L214" s="26"/>
      <c r="M214" s="26"/>
      <c r="N214" s="26"/>
      <c r="O214" s="26"/>
    </row>
    <row r="215" spans="1:15" x14ac:dyDescent="0.2">
      <c r="A215" s="26"/>
      <c r="B215" s="26"/>
      <c r="C215" s="77"/>
      <c r="D215" s="102"/>
      <c r="E215" s="26"/>
      <c r="F215" s="96"/>
      <c r="G215" s="26"/>
      <c r="H215" s="77"/>
      <c r="I215" s="26"/>
      <c r="J215" s="26"/>
      <c r="K215" s="33"/>
      <c r="L215" s="26"/>
      <c r="M215" s="26"/>
      <c r="N215" s="26"/>
      <c r="O215" s="26"/>
    </row>
    <row r="216" spans="1:15" x14ac:dyDescent="0.2">
      <c r="A216" s="26"/>
      <c r="B216" s="26"/>
      <c r="C216" s="77"/>
      <c r="D216" s="77"/>
      <c r="E216" s="26"/>
      <c r="F216" s="96"/>
      <c r="G216" s="26"/>
      <c r="H216" s="77"/>
      <c r="I216" s="26"/>
      <c r="J216" s="26"/>
      <c r="K216" s="33"/>
      <c r="L216" s="26"/>
      <c r="M216" s="26"/>
      <c r="N216" s="26"/>
      <c r="O216" s="26"/>
    </row>
    <row r="217" spans="1:15" x14ac:dyDescent="0.2">
      <c r="A217" s="26"/>
      <c r="B217" s="26"/>
      <c r="C217" s="77"/>
      <c r="D217" s="26"/>
      <c r="E217" s="26"/>
      <c r="F217" s="26"/>
      <c r="G217" s="26"/>
      <c r="H217" s="77"/>
      <c r="I217" s="26"/>
      <c r="J217" s="26"/>
      <c r="K217" s="33"/>
      <c r="L217" s="26"/>
      <c r="M217" s="26"/>
      <c r="N217" s="26"/>
      <c r="O217" s="2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AAF918-E241-4760-BA68-DFA9E46FB3B2}">
          <x14:formula1>
            <xm:f>Sheet1!$A$1:$A$4</xm:f>
          </x14:formula1>
          <xm:sqref>O2:O217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Legend &amp; Summary</vt:lpstr>
      <vt:lpstr>Management Survey</vt:lpstr>
      <vt:lpstr>ASR1 Requests</vt:lpstr>
      <vt:lpstr>Spare</vt:lpstr>
      <vt:lpstr>Re-Inspections 26</vt:lpstr>
      <vt:lpstr>'ASR1 Requests'!Print_Area</vt:lpstr>
      <vt:lpstr>'Management Survey'!Print_Area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</dc:creator>
  <cp:lastModifiedBy>Andrew Sweeney</cp:lastModifiedBy>
  <cp:lastPrinted>2025-02-19T11:46:52Z</cp:lastPrinted>
  <dcterms:created xsi:type="dcterms:W3CDTF">2018-10-17T09:39:20Z</dcterms:created>
  <dcterms:modified xsi:type="dcterms:W3CDTF">2026-04-10T10:30:19Z</dcterms:modified>
</cp:coreProperties>
</file>